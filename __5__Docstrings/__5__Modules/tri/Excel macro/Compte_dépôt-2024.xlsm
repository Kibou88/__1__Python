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worksheets/_rels/sheet6.xml.rels" ContentType="application/vnd.openxmlformats-package.relationships+xml"/>
  <Override PartName="/xl/worksheets/_rels/sheet7.xml.rels" ContentType="application/vnd.openxmlformats-package.relationships+xml"/>
  <Override PartName="/xl/worksheets/_rels/sheet8.xml.rels" ContentType="application/vnd.openxmlformats-package.relationships+xml"/>
  <Override PartName="/xl/worksheets/_rels/sheet9.xml.rels" ContentType="application/vnd.openxmlformats-package.relationships+xml"/>
  <Override PartName="/xl/worksheets/_rels/sheet10.xml.rels" ContentType="application/vnd.openxmlformats-package.relationships+xml"/>
  <Override PartName="/xl/worksheets/_rels/sheet11.xml.rels" ContentType="application/vnd.openxmlformats-package.relationships+xml"/>
  <Override PartName="/xl/worksheets/_rels/sheet12.xml.rels" ContentType="application/vnd.openxmlformats-package.relationships+xml"/>
  <Override PartName="/xl/worksheets/_rels/sheet14.xml.rels" ContentType="application/vnd.openxmlformats-package.relationship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_rels/drawing13.xml.rels" ContentType="application/vnd.openxmlformats-package.relationships+xml"/>
  <Override PartName="/xl/tables/table10.xml" ContentType="application/vnd.openxmlformats-officedocument.spreadsheetml.table+xml"/>
  <Override PartName="/xl/tables/table14.xml" ContentType="application/vnd.openxmlformats-officedocument.spreadsheetml.table+xml"/>
  <Override PartName="/xl/tables/table7.xml" ContentType="application/vnd.openxmlformats-officedocument.spreadsheetml.table+xml"/>
  <Override PartName="/xl/tables/table9.xml" ContentType="application/vnd.openxmlformats-officedocument.spreadsheetml.table+xml"/>
  <Override PartName="/xl/tables/table16.xml" ContentType="application/vnd.openxmlformats-officedocument.spreadsheetml.table+xml"/>
  <Override PartName="/xl/tables/table13.xml" ContentType="application/vnd.openxmlformats-officedocument.spreadsheetml.table+xml"/>
  <Override PartName="/xl/tables/table8.xml" ContentType="application/vnd.openxmlformats-officedocument.spreadsheetml.table+xml"/>
  <Override PartName="/xl/tables/table1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5.xml" ContentType="application/vnd.openxmlformats-officedocument.spreadsheetml.table+xml"/>
  <Override PartName="/xl/tables/table18.xml" ContentType="application/vnd.openxmlformats-officedocument.spreadsheetml.table+xml"/>
  <Override PartName="/xl/tables/table4.xml" ContentType="application/vnd.openxmlformats-officedocument.spreadsheetml.table+xml"/>
  <Override PartName="/xl/tables/table19.xml" ContentType="application/vnd.openxmlformats-officedocument.spreadsheetml.table+xml"/>
  <Override PartName="/xl/tables/table3.xml" ContentType="application/vnd.openxmlformats-officedocument.spreadsheetml.table+xml"/>
  <Override PartName="/xl/tables/table20.xml" ContentType="application/vnd.openxmlformats-officedocument.spreadsheetml.table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11.xml" ContentType="application/vnd.openxmlformats-officedocument.spreadsheetml.table+xml"/>
  <Override PartName="/xl/tables/table22.xml" ContentType="application/vnd.openxmlformats-officedocument.spreadsheetml.table+xml"/>
  <Override PartName="/xl/tables/table2.xml" ContentType="application/vnd.openxmlformats-officedocument.spreadsheetml.table+xml"/>
  <Override PartName="/xl/tables/table23.xml" ContentType="application/vnd.openxmlformats-officedocument.spreadsheetml.table+xml"/>
  <Override PartName="/xl/tables/table1.xml" ContentType="application/vnd.openxmlformats-officedocument.spreadsheetml.table+xml"/>
  <Override PartName="/xl/tables/table24.xml" ContentType="application/vnd.openxmlformats-officedocument.spreadsheetml.table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01" sheetId="1" state="visible" r:id="rId4"/>
    <sheet name="02" sheetId="2" state="visible" r:id="rId5"/>
    <sheet name="03" sheetId="3" state="visible" r:id="rId6"/>
    <sheet name="04" sheetId="4" state="visible" r:id="rId7"/>
    <sheet name="05" sheetId="5" state="visible" r:id="rId8"/>
    <sheet name="06" sheetId="6" state="visible" r:id="rId9"/>
    <sheet name="07" sheetId="7" state="visible" r:id="rId10"/>
    <sheet name="08" sheetId="8" state="visible" r:id="rId11"/>
    <sheet name="09" sheetId="9" state="visible" r:id="rId12"/>
    <sheet name="10" sheetId="10" state="visible" r:id="rId13"/>
    <sheet name="11" sheetId="11" state="visible" r:id="rId14"/>
    <sheet name="12" sheetId="12" state="visible" r:id="rId15"/>
    <sheet name="Prélèvement auto-chèque" sheetId="13" state="visible" r:id="rId16"/>
    <sheet name="Récapitulatif" sheetId="14" state="visible" r:id="rId1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<sst xmlns="http://schemas.openxmlformats.org/spreadsheetml/2006/main" count="337" uniqueCount="87">
  <si>
    <t xml:space="preserve">Début du mois</t>
  </si>
  <si>
    <t xml:space="preserve">Dépenser</t>
  </si>
  <si>
    <t xml:space="preserve">Solde Janvier</t>
  </si>
  <si>
    <t xml:space="preserve">Fin du mois</t>
  </si>
  <si>
    <t xml:space="preserve">Reste du salaire</t>
  </si>
  <si>
    <t xml:space="preserve">Jour</t>
  </si>
  <si>
    <t xml:space="preserve">Crédit</t>
  </si>
  <si>
    <t xml:space="preserve">Débit</t>
  </si>
  <si>
    <t xml:space="preserve">Raison</t>
  </si>
  <si>
    <t xml:space="preserve">Résultat</t>
  </si>
  <si>
    <t xml:space="preserve">Pvt</t>
  </si>
  <si>
    <t xml:space="preserve">PRATIQUE</t>
  </si>
  <si>
    <t xml:space="preserve">Total</t>
  </si>
  <si>
    <t xml:space="preserve">Loyer</t>
  </si>
  <si>
    <t xml:space="preserve">x</t>
  </si>
  <si>
    <t xml:space="preserve">Virement</t>
  </si>
  <si>
    <t xml:space="preserve">TEGO</t>
  </si>
  <si>
    <t xml:space="preserve">Docteur</t>
  </si>
  <si>
    <t xml:space="preserve">EPARMIL</t>
  </si>
  <si>
    <t xml:space="preserve">Pharmacie</t>
  </si>
  <si>
    <t xml:space="preserve">CPAM</t>
  </si>
  <si>
    <t xml:space="preserve">Salaire</t>
  </si>
  <si>
    <t xml:space="preserve">CAF</t>
  </si>
  <si>
    <t xml:space="preserve">La Toque cuivrée</t>
  </si>
  <si>
    <t xml:space="preserve">Vinci</t>
  </si>
  <si>
    <t xml:space="preserve">Cotisation</t>
  </si>
  <si>
    <t xml:space="preserve">Les Petits Culottés</t>
  </si>
  <si>
    <t xml:space="preserve">Chèque</t>
  </si>
  <si>
    <t xml:space="preserve">resto</t>
  </si>
  <si>
    <t xml:space="preserve">Les Burgers de Papa</t>
  </si>
  <si>
    <t xml:space="preserve">Essence</t>
  </si>
  <si>
    <t xml:space="preserve">Pizza</t>
  </si>
  <si>
    <t xml:space="preserve">Restaurant Thalès</t>
  </si>
  <si>
    <t xml:space="preserve">Virement Livret Bébé</t>
  </si>
  <si>
    <t xml:space="preserve">Docstring</t>
  </si>
  <si>
    <t xml:space="preserve">Crédit Mutuel</t>
  </si>
  <si>
    <t xml:space="preserve">GoBabyGym</t>
  </si>
  <si>
    <t xml:space="preserve">Course</t>
  </si>
  <si>
    <t xml:space="preserve">Resto</t>
  </si>
  <si>
    <t xml:space="preserve">CARAC</t>
  </si>
  <si>
    <t xml:space="preserve">Orange</t>
  </si>
  <si>
    <t xml:space="preserve">Mensualité</t>
  </si>
  <si>
    <t xml:space="preserve">Total avec solde</t>
  </si>
  <si>
    <t xml:space="preserve">Solde Février</t>
  </si>
  <si>
    <t xml:space="preserve">Solde Mars</t>
  </si>
  <si>
    <t xml:space="preserve">Solde Avril</t>
  </si>
  <si>
    <t xml:space="preserve">Total 0,00 €</t>
  </si>
  <si>
    <t xml:space="preserve">Solde Mai</t>
  </si>
  <si>
    <t xml:space="preserve">Solde Juin</t>
  </si>
  <si>
    <t xml:space="preserve">Solde Juillet</t>
  </si>
  <si>
    <t xml:space="preserve">Solde Août</t>
  </si>
  <si>
    <t xml:space="preserve">Solde Septembre</t>
  </si>
  <si>
    <t xml:space="preserve">Solde Octobre</t>
  </si>
  <si>
    <t xml:space="preserve">Solde Novembre</t>
  </si>
  <si>
    <t xml:space="preserve">Solde Décembre</t>
  </si>
  <si>
    <t xml:space="preserve">Prélèvement auto + Chèques</t>
  </si>
  <si>
    <t xml:space="preserve">Prélèvements automatique</t>
  </si>
  <si>
    <t xml:space="preserve">Chèques</t>
  </si>
  <si>
    <t xml:space="preserve">Date</t>
  </si>
  <si>
    <t xml:space="preserve">Montant</t>
  </si>
  <si>
    <t xml:space="preserve">Numéro</t>
  </si>
  <si>
    <t xml:space="preserve">Date de prélèvement</t>
  </si>
  <si>
    <t xml:space="preserve">Orange/Bouygues</t>
  </si>
  <si>
    <t xml:space="preserve">Plan EPARMIL</t>
  </si>
  <si>
    <t xml:space="preserve">Virement bébé</t>
  </si>
  <si>
    <t xml:space="preserve">Virement A</t>
  </si>
  <si>
    <t xml:space="preserve">Orange/ Bouygues</t>
  </si>
  <si>
    <t xml:space="preserve">Go Wod</t>
  </si>
  <si>
    <t xml:space="preserve">Janvier</t>
  </si>
  <si>
    <t xml:space="preserve">Février</t>
  </si>
  <si>
    <t xml:space="preserve">Mars</t>
  </si>
  <si>
    <t xml:space="preserve">Avril</t>
  </si>
  <si>
    <t xml:space="preserve">Mai</t>
  </si>
  <si>
    <t xml:space="preserve">Juin</t>
  </si>
  <si>
    <t xml:space="preserve">Juillet</t>
  </si>
  <si>
    <t xml:space="preserve">Août</t>
  </si>
  <si>
    <t xml:space="preserve">Septembre</t>
  </si>
  <si>
    <t xml:space="preserve">Octobre</t>
  </si>
  <si>
    <t xml:space="preserve">Novembre</t>
  </si>
  <si>
    <t xml:space="preserve">Décembre</t>
  </si>
  <si>
    <t xml:space="preserve">Début Janvier</t>
  </si>
  <si>
    <t xml:space="preserve">RECAPITULATIF ANNEE</t>
  </si>
  <si>
    <t xml:space="preserve">Fin Décembre</t>
  </si>
  <si>
    <t xml:space="preserve">Total Dépense</t>
  </si>
  <si>
    <t xml:space="preserve">Total Economie</t>
  </si>
  <si>
    <t xml:space="preserve">Total Soldes</t>
  </si>
  <si>
    <t xml:space="preserve">Moyenne</t>
  </si>
</sst>
</file>

<file path=xl/styles.xml><?xml version="1.0" encoding="utf-8"?>
<styleSheet xmlns="http://schemas.openxmlformats.org/spreadsheetml/2006/main">
  <numFmts count="10">
    <numFmt numFmtId="164" formatCode="#,##0.00\ [$€-40C];[RED]\-#,##0.00\ [$€-40C]"/>
    <numFmt numFmtId="165" formatCode="General"/>
    <numFmt numFmtId="166" formatCode="#,##0.00&quot; €&quot;"/>
    <numFmt numFmtId="167" formatCode="#,##0.00&quot; €&quot;;[RED]\-#,##0.00&quot; €&quot;"/>
    <numFmt numFmtId="168" formatCode="0.00\ %"/>
    <numFmt numFmtId="169" formatCode="dd/mm/yyyy"/>
    <numFmt numFmtId="170" formatCode="hh:mm"/>
    <numFmt numFmtId="171" formatCode="#,##0&quot; €&quot;"/>
    <numFmt numFmtId="172" formatCode="#,#00.00\ [$€-40C];\-#,#00.00\ [$€-40C]"/>
    <numFmt numFmtId="173" formatCode="#\ ##0.00&quot; €&quot;"/>
  </numFmts>
  <fonts count="26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  <font>
      <sz val="11"/>
      <color theme="9" tint="-0.25"/>
      <name val="Calibri"/>
      <family val="2"/>
      <charset val="1"/>
    </font>
    <font>
      <b val="true"/>
      <sz val="12"/>
      <color rgb="FF0070C0"/>
      <name val="Calibri"/>
      <family val="2"/>
      <charset val="1"/>
    </font>
    <font>
      <b val="true"/>
      <sz val="11"/>
      <color rgb="FF00B050"/>
      <name val="Calibri"/>
      <family val="2"/>
      <charset val="1"/>
    </font>
    <font>
      <b val="true"/>
      <sz val="11"/>
      <color rgb="FF0070C0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b val="true"/>
      <sz val="11"/>
      <color rgb="FF7030A0"/>
      <name val="Calibri"/>
      <family val="2"/>
      <charset val="1"/>
    </font>
    <font>
      <b val="true"/>
      <sz val="11"/>
      <color theme="9" tint="-0.25"/>
      <name val="Calibri"/>
      <family val="2"/>
      <charset val="1"/>
    </font>
    <font>
      <sz val="11"/>
      <color rgb="FF00B050"/>
      <name val="Calibri"/>
      <family val="2"/>
      <charset val="1"/>
    </font>
    <font>
      <sz val="11"/>
      <color rgb="FF0070C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7030A0"/>
      <name val="Calibri"/>
      <family val="2"/>
      <charset val="1"/>
    </font>
    <font>
      <sz val="11"/>
      <name val="Calibri"/>
      <family val="2"/>
      <charset val="1"/>
    </font>
    <font>
      <sz val="20"/>
      <color theme="1"/>
      <name val="Calibri"/>
      <family val="2"/>
      <charset val="1"/>
    </font>
    <font>
      <sz val="11"/>
      <color rgb="FF002060"/>
      <name val="Calibri"/>
      <family val="2"/>
      <charset val="1"/>
    </font>
    <font>
      <sz val="11"/>
      <color theme="5"/>
      <name val="Calibri"/>
      <family val="2"/>
      <charset val="1"/>
    </font>
    <font>
      <sz val="11"/>
      <color rgb="FF006600"/>
      <name val="Calibri"/>
      <family val="2"/>
      <charset val="1"/>
    </font>
    <font>
      <sz val="11"/>
      <color rgb="FFFFC000"/>
      <name val="Calibri"/>
      <family val="2"/>
      <charset val="1"/>
    </font>
    <font>
      <sz val="11"/>
      <color rgb="FFFFFF00"/>
      <name val="Calibri"/>
      <family val="2"/>
      <charset val="1"/>
    </font>
    <font>
      <sz val="11"/>
      <color rgb="FFC0504D"/>
      <name val="Calibri"/>
      <family val="2"/>
      <charset val="1"/>
    </font>
    <font>
      <b val="true"/>
      <sz val="18"/>
      <color rgb="FFFFFFFF"/>
      <name val="Calibri"/>
      <family val="2"/>
    </font>
    <font>
      <sz val="10"/>
      <color rgb="FFFFFFFF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FFC000"/>
        <bgColor rgb="FFFF9900"/>
      </patternFill>
    </fill>
    <fill>
      <patternFill patternType="solid">
        <fgColor theme="7" tint="0.7998"/>
        <bgColor rgb="FFD9D9D9"/>
      </patternFill>
    </fill>
    <fill>
      <patternFill patternType="solid">
        <fgColor theme="0"/>
        <bgColor rgb="FFFFFFCC"/>
      </patternFill>
    </fill>
    <fill>
      <patternFill patternType="solid">
        <fgColor rgb="FF00A933"/>
        <bgColor rgb="FF00B050"/>
      </patternFill>
    </fill>
    <fill>
      <patternFill patternType="solid">
        <fgColor theme="0" tint="-0.5"/>
        <bgColor rgb="FF878787"/>
      </patternFill>
    </fill>
  </fills>
  <borders count="62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thin"/>
      <right style="medium"/>
      <top style="medium"/>
      <bottom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/>
      <top/>
      <bottom style="thin"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 diagonalUp="false" diagonalDown="false"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 diagonalUp="false" diagonalDown="false">
      <left style="medium">
        <color rgb="FFFF0000"/>
      </left>
      <right style="medium">
        <color rgb="FFFF0000"/>
      </right>
      <top style="medium">
        <color rgb="FFFF0000"/>
      </top>
      <bottom style="thin"/>
      <diagonal/>
    </border>
    <border diagonalUp="false" diagonalDown="false"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 diagonalUp="false" diagonalDown="false">
      <left style="medium">
        <color rgb="FFFF0000"/>
      </left>
      <right style="medium">
        <color rgb="FFFF0000"/>
      </right>
      <top style="thin"/>
      <bottom style="thin"/>
      <diagonal/>
    </border>
    <border diagonalUp="false" diagonalDown="false">
      <left style="medium">
        <color rgb="FFFF0000"/>
      </left>
      <right style="medium">
        <color rgb="FFFF0000"/>
      </right>
      <top/>
      <bottom style="thin"/>
      <diagonal/>
    </border>
    <border diagonalUp="false" diagonalDown="false">
      <left style="medium">
        <color rgb="FFFF0000"/>
      </left>
      <right style="medium">
        <color rgb="FFFF0000"/>
      </right>
      <top style="thin"/>
      <bottom style="medium">
        <color rgb="FFFF0000"/>
      </bottom>
      <diagonal/>
    </border>
    <border diagonalUp="false" diagonalDown="false">
      <left style="medium">
        <color rgb="FF7030A0"/>
      </left>
      <right style="thin"/>
      <top style="medium">
        <color rgb="FF7030A0"/>
      </top>
      <bottom style="medium">
        <color rgb="FF7030A0"/>
      </bottom>
      <diagonal/>
    </border>
    <border diagonalUp="false" diagonalDown="false">
      <left style="thin"/>
      <right style="medium">
        <color rgb="FF7030A0"/>
      </right>
      <top style="medium">
        <color rgb="FF7030A0"/>
      </top>
      <bottom style="medium">
        <color rgb="FF7030A0"/>
      </bottom>
      <diagonal/>
    </border>
  </borders>
  <cellStyleXfs count="21"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2" borderId="0" applyFont="true" applyBorder="true" applyAlignment="true" applyProtection="false">
      <alignment horizontal="general" vertical="bottom" textRotation="0" wrapText="false" indent="0" shrinkToFit="false"/>
    </xf>
  </cellStyleXfs>
  <cellXfs count="224"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6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8" fontId="0" fillId="0" borderId="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7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8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9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0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12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3" fillId="0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4" fillId="0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5" fillId="0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6" fillId="0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5" fillId="0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6" fillId="0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6" fillId="0" borderId="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5" fillId="0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12" fillId="0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3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4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14" fillId="0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9" fontId="5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12" fillId="0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15" fillId="0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1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1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4" fillId="4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4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3" fillId="0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12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13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14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1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16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9" fontId="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12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1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12" fillId="0" borderId="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5" fillId="0" borderId="1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2" fillId="0" borderId="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2" fillId="0" borderId="1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3" fillId="0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4" fillId="0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5" fillId="0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5" fillId="0" borderId="1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5" fillId="0" borderId="1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16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1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4" fillId="4" borderId="1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1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1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1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1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2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7" fillId="0" borderId="2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8" fillId="0" borderId="2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9" fillId="0" borderId="2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0" fillId="0" borderId="2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0" borderId="2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0" borderId="2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0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6" fillId="0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5" fillId="0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6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6" fillId="0" borderId="2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2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4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7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8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9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0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7" fillId="0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8" fillId="0" borderId="1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9" fillId="0" borderId="1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0" fillId="0" borderId="1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0" borderId="1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0" borderId="2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2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2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12" fillId="0" borderId="2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5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6" fillId="0" borderId="2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12" fillId="0" borderId="2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5" fillId="0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4" fillId="0" borderId="2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2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2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2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5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2" fillId="0" borderId="2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2" fillId="0" borderId="2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3" fillId="0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4" fillId="0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5" fillId="0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6" fillId="0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2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7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5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3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2" fillId="0" borderId="3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4" fillId="0" borderId="3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5" fillId="0" borderId="3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3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0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0" borderId="3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4" fillId="0" borderId="3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5" fillId="0" borderId="3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3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5" fillId="0" borderId="3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0" borderId="3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5" fillId="0" borderId="2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5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8" fillId="0" borderId="2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8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2" fillId="0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2" fillId="6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4" fillId="0" borderId="3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5" fillId="0" borderId="3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3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5" fillId="0" borderId="3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9" fillId="0" borderId="3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19" fillId="0" borderId="3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20" fillId="0" borderId="3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20" fillId="0" borderId="3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0" borderId="3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4" fillId="0" borderId="4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5" fillId="0" borderId="4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4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5" fillId="0" borderId="4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9" fontId="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21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21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6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16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22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22" fillId="7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40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4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0" borderId="4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8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2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23" fillId="0" borderId="4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20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21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6" fillId="0" borderId="4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22" fillId="7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2" fillId="0" borderId="4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42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46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5" fillId="0" borderId="4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47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23" fillId="0" borderId="4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48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7" borderId="47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2" fillId="0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3" fillId="0" borderId="3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" fillId="0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5" fillId="0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8" fillId="0" borderId="3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2" fillId="0" borderId="3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23" fillId="0" borderId="5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20" fillId="0" borderId="3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6" fillId="0" borderId="5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22" fillId="7" borderId="3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2" fillId="0" borderId="5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3" fillId="0" borderId="3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" fillId="0" borderId="5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5" fillId="0" borderId="5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8" fillId="0" borderId="3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2" fillId="0" borderId="3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23" fillId="0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20" fillId="0" borderId="3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6" fillId="0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22" fillId="7" borderId="3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72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5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5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5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5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5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56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5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57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58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5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59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6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61" xfId="0" applyFont="false" applyBorder="true" applyAlignment="true" applyProtection="true">
      <alignment horizontal="center" vertical="center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Sans nom1" xfId="20"/>
  </cellStyles>
  <dxfs count="1082">
    <dxf>
      <fill>
        <patternFill patternType="solid">
          <bgColor rgb="FF000000"/>
        </patternFill>
      </fill>
    </dxf>
    <dxf>
      <fill>
        <patternFill patternType="solid">
          <fgColor rgb="FF00B050"/>
          <bgColor rgb="FF000000"/>
        </patternFill>
      </fill>
    </dxf>
    <dxf>
      <fill>
        <patternFill patternType="solid">
          <fgColor rgb="FF0070C0"/>
          <bgColor rgb="FF000000"/>
        </patternFill>
      </fill>
    </dxf>
    <dxf>
      <fill>
        <patternFill patternType="solid">
          <fgColor rgb="FFFF0000"/>
          <bgColor rgb="FF000000"/>
        </patternFill>
      </fill>
    </dxf>
    <dxf>
      <fill>
        <patternFill patternType="solid">
          <fgColor rgb="FF7030A0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E46C0A"/>
          <bgColor rgb="FF000000"/>
        </patternFill>
      </fill>
    </dxf>
    <dxf>
      <font>
        <color rgb="FFFF0000"/>
      </font>
    </dxf>
    <dxf>
      <font>
        <color rgb="FF0070C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ont>
        <color rgb="FFFF0000"/>
      </font>
    </dxf>
    <dxf>
      <font>
        <name val="Calibri"/>
        <charset val="1"/>
        <family val="2"/>
        <color rgb="FF000000"/>
        <sz val="11"/>
      </font>
      <numFmt numFmtId="164" formatCode="#,##0.00\ [$€-40C];[RED]\-#,##0.00\ [$€-40C]"/>
      <fill>
        <patternFill>
          <bgColor rgb="FF000000"/>
        </patternFill>
      </fill>
      <border diagonalUp="false" diagonalDown="false">
        <left/>
        <right/>
        <top/>
        <bottom/>
        <diagonal/>
      </border>
    </dxf>
    <dxf>
      <fill>
        <patternFill>
          <bgColor theme="9" tint="-0.25"/>
        </patternFill>
      </fill>
    </dxf>
    <dxf>
      <font>
        <color rgb="FF0070C0"/>
      </font>
    </dxf>
    <dxf>
      <fill>
        <patternFill>
          <bgColor rgb="FF0070C0"/>
        </patternFill>
      </fill>
    </dxf>
    <dxf>
      <font>
        <color rgb="FFFFFF00"/>
      </font>
    </dxf>
    <dxf>
      <font>
        <color rgb="FF808080"/>
      </font>
      <fill>
        <patternFill>
          <bgColor theme="0" tint="-0.5"/>
        </patternFill>
      </fill>
    </dxf>
    <dxf>
      <font>
        <color rgb="FF006600"/>
      </font>
    </dxf>
    <dxf>
      <font>
        <color rgb="FF006600"/>
      </font>
      <fill>
        <patternFill>
          <bgColor rgb="FF006600"/>
        </patternFill>
      </fill>
    </dxf>
    <dxf>
      <font>
        <color rgb="FFFFC000"/>
      </font>
    </dxf>
    <dxf>
      <font>
        <color rgb="FFFFC000"/>
      </font>
      <fill>
        <patternFill>
          <bgColor rgb="FFFFC000"/>
        </patternFill>
      </fill>
    </dxf>
    <dxf>
      <font>
        <color rgb="FF002060"/>
      </font>
    </dxf>
    <dxf>
      <font>
        <color rgb="FFC0504D"/>
      </font>
    </dxf>
    <dxf>
      <font>
        <color rgb="FFE46C0A"/>
      </font>
    </dxf>
    <dxf>
      <fill>
        <patternFill>
          <bgColor rgb="FFC0504D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2060"/>
        </patternFill>
      </fill>
    </dxf>
    <dxf>
      <font>
        <name val="Calibri"/>
        <charset val="1"/>
        <family val="2"/>
        <color rgb="FF000000"/>
        <sz val="11"/>
      </font>
    </dxf>
    <dxf>
      <font>
        <color rgb="FFFFFFFF"/>
      </font>
      <fill>
        <patternFill>
          <bgColor theme="1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B050"/>
      <rgbColor rgb="FFC0C0C0"/>
      <rgbColor rgb="FF808080"/>
      <rgbColor rgb="FF9999FF"/>
      <rgbColor rgb="FF7030A0"/>
      <rgbColor rgb="FFFFFFCC"/>
      <rgbColor rgb="FFE6E0EC"/>
      <rgbColor rgb="FF660066"/>
      <rgbColor rgb="FFFF8080"/>
      <rgbColor rgb="FF0070C0"/>
      <rgbColor rgb="FFD9D9D9"/>
      <rgbColor rgb="FF000080"/>
      <rgbColor rgb="FFFF00FF"/>
      <rgbColor rgb="FFFFFF00"/>
      <rgbColor rgb="FF00FFFF"/>
      <rgbColor rgb="FF800080"/>
      <rgbColor rgb="FF800000"/>
      <rgbColor rgb="FF00A933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4B3D5"/>
      <rgbColor rgb="FF99CC00"/>
      <rgbColor rgb="FFFFC000"/>
      <rgbColor rgb="FFFF9900"/>
      <rgbColor rgb="FFE46C0A"/>
      <rgbColor rgb="FF666699"/>
      <rgbColor rgb="FF878787"/>
      <rgbColor rgb="FF002060"/>
      <rgbColor rgb="FF2988A1"/>
      <rgbColor rgb="FF003300"/>
      <rgbColor rgb="FF333300"/>
      <rgbColor rgb="FF993300"/>
      <rgbColor rgb="FFC0504D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fr-FR" sz="1800" spc="-1" strike="noStrike">
                <a:solidFill>
                  <a:srgbClr val="ffffff"/>
                </a:solidFill>
                <a:latin typeface="Calibri"/>
              </a:defRPr>
            </a:pPr>
            <a:r>
              <a:rPr b="1" lang="fr-FR" sz="1800" spc="-1" strike="noStrike">
                <a:solidFill>
                  <a:srgbClr val="ffffff"/>
                </a:solidFill>
                <a:latin typeface="Calibri"/>
              </a:rPr>
              <a:t>Total reste sur salaire par mois</a:t>
            </a:r>
          </a:p>
        </c:rich>
      </c:tx>
      <c:layout>
        <c:manualLayout>
          <c:xMode val="edge"/>
          <c:yMode val="edge"/>
          <c:x val="0.384835674348834"/>
          <c:y val="0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468430383199236"/>
          <c:y val="0.0600121411846327"/>
          <c:w val="0.938258557207146"/>
          <c:h val="0.863758563871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Récapitulatif!$A$1</c:f>
              <c:strCache>
                <c:ptCount val="1"/>
                <c:pt idx="0">
                  <c:v>Début Janvier</c:v>
                </c:pt>
              </c:strCache>
            </c:strRef>
          </c:tx>
          <c:spPr>
            <a:gradFill>
              <a:gsLst>
                <a:gs pos="0">
                  <a:srgbClr val="2988a1"/>
                </a:gs>
                <a:gs pos="80000">
                  <a:srgbClr val="36b0d1"/>
                </a:gs>
                <a:gs pos="100000">
                  <a:srgbClr val="34b3d5"/>
                </a:gs>
              </a:gsLst>
              <a:lin ang="16200000"/>
            </a:gradFill>
            <a:ln w="0">
              <a:noFill/>
            </a:ln>
          </c:spPr>
          <c:invertIfNegative val="0"/>
          <c:dPt>
            <c:idx val="1"/>
            <c:invertIfNegative val="0"/>
            <c:spPr>
              <a:gradFill>
                <a:gsLst>
                  <a:gs pos="0">
                    <a:srgbClr val="2988a1"/>
                  </a:gs>
                  <a:gs pos="80000">
                    <a:srgbClr val="36b0d1"/>
                  </a:gs>
                  <a:gs pos="100000">
                    <a:srgbClr val="34b3d5"/>
                  </a:gs>
                </a:gsLst>
                <a:lin ang="16200000"/>
              </a:gradFill>
              <a:ln w="0">
                <a:noFill/>
              </a:ln>
            </c:spPr>
          </c:dPt>
          <c:dPt>
            <c:idx val="4"/>
            <c:invertIfNegative val="0"/>
            <c:spPr>
              <a:gradFill>
                <a:gsLst>
                  <a:gs pos="0">
                    <a:srgbClr val="2988a1"/>
                  </a:gs>
                  <a:gs pos="80000">
                    <a:srgbClr val="36b0d1"/>
                  </a:gs>
                  <a:gs pos="100000">
                    <a:srgbClr val="34b3d5"/>
                  </a:gs>
                </a:gsLst>
                <a:lin ang="16200000"/>
              </a:gradFill>
              <a:ln w="0">
                <a:noFill/>
              </a:ln>
            </c:spPr>
          </c:dPt>
          <c:dPt>
            <c:idx val="9"/>
            <c:invertIfNegative val="0"/>
            <c:spPr>
              <a:gradFill>
                <a:gsLst>
                  <a:gs pos="0">
                    <a:srgbClr val="2988a1"/>
                  </a:gs>
                  <a:gs pos="80000">
                    <a:srgbClr val="36b0d1"/>
                  </a:gs>
                  <a:gs pos="100000">
                    <a:srgbClr val="34b3d5"/>
                  </a:gs>
                </a:gsLst>
                <a:lin ang="16200000"/>
              </a:gradFill>
              <a:ln w="0">
                <a:noFill/>
              </a:ln>
            </c:spPr>
          </c:dPt>
          <c:dPt>
            <c:idx val="11"/>
            <c:invertIfNegative val="0"/>
            <c:spPr>
              <a:gradFill>
                <a:gsLst>
                  <a:gs pos="0">
                    <a:srgbClr val="2988a1"/>
                  </a:gs>
                  <a:gs pos="80000">
                    <a:srgbClr val="36b0d1"/>
                  </a:gs>
                  <a:gs pos="100000">
                    <a:srgbClr val="34b3d5"/>
                  </a:gs>
                </a:gsLst>
                <a:lin ang="16200000"/>
              </a:gradFill>
              <a:ln w="0">
                <a:noFill/>
              </a:ln>
            </c:spPr>
          </c:dPt>
          <c:dLbls>
            <c:numFmt formatCode="#,##0.00&quot; €&quot;" sourceLinked="1"/>
            <c:dLbl>
              <c:idx val="1"/>
              <c:layout>
                <c:manualLayout>
                  <c:x val="0"/>
                  <c:y val="-0.0268336314847943"/>
                </c:manualLayout>
              </c:layout>
              <c:numFmt formatCode="#,##0.00&quot; €&quot;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ffffff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4"/>
              <c:layout>
                <c:manualLayout>
                  <c:x val="0.00129853265809635"/>
                  <c:y val="-0.035778175313059"/>
                </c:manualLayout>
              </c:layout>
              <c:numFmt formatCode="#,##0.00&quot; €&quot;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ffffff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9"/>
              <c:layout>
                <c:manualLayout>
                  <c:x val="-9.52246282173681E-017"/>
                  <c:y val="0.00894454382826476"/>
                </c:manualLayout>
              </c:layout>
              <c:numFmt formatCode="#,##0.00&quot; €&quot;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ffffff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11"/>
              <c:layout>
                <c:manualLayout>
                  <c:x val="0.00129853265809635"/>
                  <c:y val="0.0119260584376863"/>
                </c:manualLayout>
              </c:layout>
              <c:numFmt formatCode="#,##0.00&quot; €&quot;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ffffff"/>
                      </a:solidFill>
                      <a:latin typeface="Calibri"/>
                    </a:defRPr>
                  </a:pPr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Récapitulatif!$A$11:$A$22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Récapitulatif!$B$11:$B$22</c:f>
              <c:numCache>
                <c:formatCode>General</c:formatCode>
                <c:ptCount val="12"/>
                <c:pt idx="0">
                  <c:v>-309.39</c:v>
                </c:pt>
                <c:pt idx="1">
                  <c:v>1525.41</c:v>
                </c:pt>
                <c:pt idx="2">
                  <c:v>0</c:v>
                </c:pt>
                <c:pt idx="3">
                  <c:v>2200</c:v>
                </c:pt>
                <c:pt idx="4">
                  <c:v>2200</c:v>
                </c:pt>
                <c:pt idx="5">
                  <c:v>2200</c:v>
                </c:pt>
                <c:pt idx="6">
                  <c:v>2200</c:v>
                </c:pt>
                <c:pt idx="7">
                  <c:v>2200</c:v>
                </c:pt>
                <c:pt idx="8">
                  <c:v>2200</c:v>
                </c:pt>
                <c:pt idx="9">
                  <c:v>2200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150"/>
        <c:overlap val="0"/>
        <c:axId val="16921762"/>
        <c:axId val="29594771"/>
      </c:barChart>
      <c:catAx>
        <c:axId val="1692176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29594771"/>
        <c:crossesAt val="0"/>
        <c:auto val="1"/>
        <c:lblAlgn val="ctr"/>
        <c:lblOffset val="100"/>
        <c:noMultiLvlLbl val="0"/>
      </c:catAx>
      <c:valAx>
        <c:axId val="29594771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#\ ##0.00&quot; €&quot;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16921762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000000"/>
    </a:solidFill>
    <a:ln w="9360">
      <a:solidFill>
        <a:srgbClr val="d9d9d9"/>
      </a:solidFill>
      <a:round/>
    </a:ln>
  </c:spPr>
</c:chartSpace>
</file>

<file path=xl/drawings/_rels/drawing13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19080</xdr:colOff>
      <xdr:row>1</xdr:row>
      <xdr:rowOff>9360</xdr:rowOff>
    </xdr:from>
    <xdr:to>
      <xdr:col>0</xdr:col>
      <xdr:colOff>898920</xdr:colOff>
      <xdr:row>2</xdr:row>
      <xdr:rowOff>3600</xdr:rowOff>
    </xdr:to>
    <xdr:sp>
      <xdr:nvSpPr>
        <xdr:cNvPr id="0" name="Rectangle 1"/>
        <xdr:cNvSpPr/>
      </xdr:nvSpPr>
      <xdr:spPr>
        <a:xfrm>
          <a:off x="19080" y="190440"/>
          <a:ext cx="879840" cy="184680"/>
        </a:xfrm>
        <a:prstGeom prst="rect">
          <a:avLst/>
        </a:prstGeom>
        <a:noFill/>
        <a:ln w="254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19080</xdr:colOff>
      <xdr:row>1</xdr:row>
      <xdr:rowOff>9360</xdr:rowOff>
    </xdr:from>
    <xdr:to>
      <xdr:col>0</xdr:col>
      <xdr:colOff>898920</xdr:colOff>
      <xdr:row>2</xdr:row>
      <xdr:rowOff>3600</xdr:rowOff>
    </xdr:to>
    <xdr:sp>
      <xdr:nvSpPr>
        <xdr:cNvPr id="1" name="Rectangle 1"/>
        <xdr:cNvSpPr/>
      </xdr:nvSpPr>
      <xdr:spPr>
        <a:xfrm>
          <a:off x="19080" y="190440"/>
          <a:ext cx="879840" cy="184680"/>
        </a:xfrm>
        <a:prstGeom prst="rect">
          <a:avLst/>
        </a:prstGeom>
        <a:noFill/>
        <a:ln w="254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19080</xdr:colOff>
      <xdr:row>1</xdr:row>
      <xdr:rowOff>9360</xdr:rowOff>
    </xdr:from>
    <xdr:to>
      <xdr:col>0</xdr:col>
      <xdr:colOff>898920</xdr:colOff>
      <xdr:row>2</xdr:row>
      <xdr:rowOff>3600</xdr:rowOff>
    </xdr:to>
    <xdr:sp>
      <xdr:nvSpPr>
        <xdr:cNvPr id="2" name="Rectangle 1"/>
        <xdr:cNvSpPr/>
      </xdr:nvSpPr>
      <xdr:spPr>
        <a:xfrm>
          <a:off x="19080" y="190440"/>
          <a:ext cx="879840" cy="184680"/>
        </a:xfrm>
        <a:prstGeom prst="rect">
          <a:avLst/>
        </a:prstGeom>
        <a:noFill/>
        <a:ln w="254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19080</xdr:colOff>
      <xdr:row>1</xdr:row>
      <xdr:rowOff>9360</xdr:rowOff>
    </xdr:from>
    <xdr:to>
      <xdr:col>0</xdr:col>
      <xdr:colOff>898920</xdr:colOff>
      <xdr:row>2</xdr:row>
      <xdr:rowOff>3600</xdr:rowOff>
    </xdr:to>
    <xdr:sp>
      <xdr:nvSpPr>
        <xdr:cNvPr id="3" name="Rectangle 1"/>
        <xdr:cNvSpPr/>
      </xdr:nvSpPr>
      <xdr:spPr>
        <a:xfrm>
          <a:off x="19080" y="190440"/>
          <a:ext cx="879840" cy="184680"/>
        </a:xfrm>
        <a:prstGeom prst="rect">
          <a:avLst/>
        </a:prstGeom>
        <a:noFill/>
        <a:ln w="254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19080</xdr:colOff>
      <xdr:row>1</xdr:row>
      <xdr:rowOff>9360</xdr:rowOff>
    </xdr:from>
    <xdr:to>
      <xdr:col>0</xdr:col>
      <xdr:colOff>898920</xdr:colOff>
      <xdr:row>2</xdr:row>
      <xdr:rowOff>3600</xdr:rowOff>
    </xdr:to>
    <xdr:sp>
      <xdr:nvSpPr>
        <xdr:cNvPr id="4" name="Rectangle 1"/>
        <xdr:cNvSpPr/>
      </xdr:nvSpPr>
      <xdr:spPr>
        <a:xfrm>
          <a:off x="19080" y="190440"/>
          <a:ext cx="879840" cy="184680"/>
        </a:xfrm>
        <a:prstGeom prst="rect">
          <a:avLst/>
        </a:prstGeom>
        <a:noFill/>
        <a:ln w="254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47520</xdr:colOff>
      <xdr:row>1</xdr:row>
      <xdr:rowOff>0</xdr:rowOff>
    </xdr:from>
    <xdr:to>
      <xdr:col>1</xdr:col>
      <xdr:colOff>3240</xdr:colOff>
      <xdr:row>2</xdr:row>
      <xdr:rowOff>3600</xdr:rowOff>
    </xdr:to>
    <xdr:sp>
      <xdr:nvSpPr>
        <xdr:cNvPr id="5" name="Rectangle 1"/>
        <xdr:cNvSpPr/>
      </xdr:nvSpPr>
      <xdr:spPr>
        <a:xfrm>
          <a:off x="47520" y="181080"/>
          <a:ext cx="934200" cy="194040"/>
        </a:xfrm>
        <a:prstGeom prst="rect">
          <a:avLst/>
        </a:prstGeom>
        <a:noFill/>
        <a:ln w="254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19080</xdr:colOff>
      <xdr:row>1</xdr:row>
      <xdr:rowOff>9360</xdr:rowOff>
    </xdr:from>
    <xdr:to>
      <xdr:col>0</xdr:col>
      <xdr:colOff>898920</xdr:colOff>
      <xdr:row>2</xdr:row>
      <xdr:rowOff>3600</xdr:rowOff>
    </xdr:to>
    <xdr:sp>
      <xdr:nvSpPr>
        <xdr:cNvPr id="6" name="Rectangle 1"/>
        <xdr:cNvSpPr/>
      </xdr:nvSpPr>
      <xdr:spPr>
        <a:xfrm>
          <a:off x="19080" y="190440"/>
          <a:ext cx="879840" cy="184680"/>
        </a:xfrm>
        <a:prstGeom prst="rect">
          <a:avLst/>
        </a:prstGeom>
        <a:noFill/>
        <a:ln w="254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19080</xdr:colOff>
      <xdr:row>1</xdr:row>
      <xdr:rowOff>9360</xdr:rowOff>
    </xdr:from>
    <xdr:to>
      <xdr:col>0</xdr:col>
      <xdr:colOff>898920</xdr:colOff>
      <xdr:row>2</xdr:row>
      <xdr:rowOff>3600</xdr:rowOff>
    </xdr:to>
    <xdr:sp>
      <xdr:nvSpPr>
        <xdr:cNvPr id="7" name="Rectangle 1"/>
        <xdr:cNvSpPr/>
      </xdr:nvSpPr>
      <xdr:spPr>
        <a:xfrm>
          <a:off x="19080" y="190440"/>
          <a:ext cx="879840" cy="184680"/>
        </a:xfrm>
        <a:prstGeom prst="rect">
          <a:avLst/>
        </a:prstGeom>
        <a:noFill/>
        <a:ln w="254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19080</xdr:colOff>
      <xdr:row>1</xdr:row>
      <xdr:rowOff>9360</xdr:rowOff>
    </xdr:from>
    <xdr:to>
      <xdr:col>0</xdr:col>
      <xdr:colOff>898920</xdr:colOff>
      <xdr:row>2</xdr:row>
      <xdr:rowOff>3600</xdr:rowOff>
    </xdr:to>
    <xdr:sp>
      <xdr:nvSpPr>
        <xdr:cNvPr id="8" name="Rectangle 1"/>
        <xdr:cNvSpPr/>
      </xdr:nvSpPr>
      <xdr:spPr>
        <a:xfrm>
          <a:off x="19080" y="190440"/>
          <a:ext cx="879840" cy="184680"/>
        </a:xfrm>
        <a:prstGeom prst="rect">
          <a:avLst/>
        </a:prstGeom>
        <a:noFill/>
        <a:ln w="254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19080</xdr:colOff>
      <xdr:row>1</xdr:row>
      <xdr:rowOff>9360</xdr:rowOff>
    </xdr:from>
    <xdr:to>
      <xdr:col>0</xdr:col>
      <xdr:colOff>898920</xdr:colOff>
      <xdr:row>2</xdr:row>
      <xdr:rowOff>3600</xdr:rowOff>
    </xdr:to>
    <xdr:sp>
      <xdr:nvSpPr>
        <xdr:cNvPr id="9" name="Rectangle 1"/>
        <xdr:cNvSpPr/>
      </xdr:nvSpPr>
      <xdr:spPr>
        <a:xfrm>
          <a:off x="19080" y="190440"/>
          <a:ext cx="879840" cy="184680"/>
        </a:xfrm>
        <a:prstGeom prst="rect">
          <a:avLst/>
        </a:prstGeom>
        <a:noFill/>
        <a:ln w="254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19080</xdr:colOff>
      <xdr:row>1</xdr:row>
      <xdr:rowOff>9360</xdr:rowOff>
    </xdr:from>
    <xdr:to>
      <xdr:col>0</xdr:col>
      <xdr:colOff>898920</xdr:colOff>
      <xdr:row>2</xdr:row>
      <xdr:rowOff>3600</xdr:rowOff>
    </xdr:to>
    <xdr:sp>
      <xdr:nvSpPr>
        <xdr:cNvPr id="10" name="Rectangle 1"/>
        <xdr:cNvSpPr/>
      </xdr:nvSpPr>
      <xdr:spPr>
        <a:xfrm>
          <a:off x="19080" y="190440"/>
          <a:ext cx="879840" cy="184680"/>
        </a:xfrm>
        <a:prstGeom prst="rect">
          <a:avLst/>
        </a:prstGeom>
        <a:noFill/>
        <a:ln w="254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19080</xdr:colOff>
      <xdr:row>1</xdr:row>
      <xdr:rowOff>9360</xdr:rowOff>
    </xdr:from>
    <xdr:to>
      <xdr:col>0</xdr:col>
      <xdr:colOff>898920</xdr:colOff>
      <xdr:row>2</xdr:row>
      <xdr:rowOff>3600</xdr:rowOff>
    </xdr:to>
    <xdr:sp>
      <xdr:nvSpPr>
        <xdr:cNvPr id="11" name="Rectangle 1"/>
        <xdr:cNvSpPr/>
      </xdr:nvSpPr>
      <xdr:spPr>
        <a:xfrm>
          <a:off x="19080" y="190440"/>
          <a:ext cx="879840" cy="184680"/>
        </a:xfrm>
        <a:prstGeom prst="rect">
          <a:avLst/>
        </a:prstGeom>
        <a:noFill/>
        <a:ln w="254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0</xdr:colOff>
      <xdr:row>2</xdr:row>
      <xdr:rowOff>0</xdr:rowOff>
    </xdr:from>
    <xdr:to>
      <xdr:col>15</xdr:col>
      <xdr:colOff>75240</xdr:colOff>
      <xdr:row>25</xdr:row>
      <xdr:rowOff>56880</xdr:rowOff>
    </xdr:to>
    <xdr:graphicFrame>
      <xdr:nvGraphicFramePr>
        <xdr:cNvPr id="12" name="Graphique 1"/>
        <xdr:cNvGraphicFramePr/>
      </xdr:nvGraphicFramePr>
      <xdr:xfrm>
        <a:off x="3015000" y="361800"/>
        <a:ext cx="10559160" cy="4150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au3" displayName="Tableau3" ref="A4:F71" headerRowCount="1" totalsRowCount="0" totalsRowShown="0">
  <autoFilter ref="A4:F71"/>
  <tableColumns count="6">
    <tableColumn id="1" name="Jour"/>
    <tableColumn id="2" name="Crédit"/>
    <tableColumn id="3" name="Débit"/>
    <tableColumn id="4" name="Raison"/>
    <tableColumn id="5" name="Résultat"/>
    <tableColumn id="6" name="Pvt"/>
  </tableColumns>
</table>
</file>

<file path=xl/tables/table2.xml><?xml version="1.0" encoding="utf-8"?>
<table xmlns="http://schemas.openxmlformats.org/spreadsheetml/2006/main" id="2" name="Tableau32" displayName="Tableau32" ref="A4:F71" headerRowCount="1" totalsRowCount="0" totalsRowShown="0">
  <autoFilter ref="A4:F71"/>
  <tableColumns count="6">
    <tableColumn id="1" name="Jour"/>
    <tableColumn id="2" name="Crédit"/>
    <tableColumn id="3" name="Débit"/>
    <tableColumn id="4" name="Raison"/>
    <tableColumn id="5" name="Résultat"/>
    <tableColumn id="6" name="Pvt"/>
  </tableColumns>
</table>
</file>

<file path=xl/tables/table3.xml><?xml version="1.0" encoding="utf-8"?>
<table xmlns="http://schemas.openxmlformats.org/spreadsheetml/2006/main" id="3" name="Tableau3210" displayName="Tableau3210" ref="A4:F45" headerRowCount="1" totalsRowCount="0" totalsRowShown="0">
  <autoFilter ref="A4:F45"/>
  <tableColumns count="6">
    <tableColumn id="1" name="Jour"/>
    <tableColumn id="2" name="Crédit"/>
    <tableColumn id="3" name="Débit"/>
    <tableColumn id="4" name="Raison"/>
    <tableColumn id="5" name="Résultat"/>
    <tableColumn id="6" name="Pvt"/>
  </tableColumns>
</table>
</file>

<file path=xl/tables/table4.xml><?xml version="1.0" encoding="utf-8"?>
<table xmlns="http://schemas.openxmlformats.org/spreadsheetml/2006/main" id="4" name="Tableau3212" displayName="Tableau3212" ref="A4:F72" headerRowCount="1" totalsRowCount="0" totalsRowShown="0">
  <autoFilter ref="A4:F72"/>
  <tableColumns count="6">
    <tableColumn id="1" name="Jour"/>
    <tableColumn id="2" name="Crédit"/>
    <tableColumn id="3" name="Débit"/>
    <tableColumn id="4" name="Raison"/>
    <tableColumn id="5" name="Résultat"/>
    <tableColumn id="6" name="Pvt"/>
  </tableColumns>
</table>
</file>

<file path=xl/tables/table5.xml><?xml version="1.0" encoding="utf-8"?>
<table xmlns="http://schemas.openxmlformats.org/spreadsheetml/2006/main" id="5" name="Tableau3214" displayName="Tableau3214" ref="A4:F72" headerRowCount="1" totalsRowCount="0" totalsRowShown="0">
  <autoFilter ref="A4:F72"/>
  <tableColumns count="6">
    <tableColumn id="1" name="Jour"/>
    <tableColumn id="2" name="Crédit"/>
    <tableColumn id="3" name="Débit"/>
    <tableColumn id="4" name="Raison"/>
    <tableColumn id="5" name="Résultat"/>
    <tableColumn id="6" name="Pvt"/>
  </tableColumns>
</table>
</file>

<file path=xl/tables/table6.xml><?xml version="1.0" encoding="utf-8"?>
<table xmlns="http://schemas.openxmlformats.org/spreadsheetml/2006/main" id="6" name="Tableau3216" displayName="Tableau3216" ref="A4:F72" headerRowCount="1" totalsRowCount="0" totalsRowShown="0">
  <autoFilter ref="A4:F72"/>
  <tableColumns count="6">
    <tableColumn id="1" name="Jour"/>
    <tableColumn id="2" name="Crédit"/>
    <tableColumn id="3" name="Débit"/>
    <tableColumn id="4" name="Raison"/>
    <tableColumn id="5" name="Résultat"/>
    <tableColumn id="6" name="Pvt"/>
  </tableColumns>
</table>
</file>

<file path=xl/tables/table7.xml><?xml version="1.0" encoding="utf-8"?>
<table xmlns="http://schemas.openxmlformats.org/spreadsheetml/2006/main" id="7" name="Tableau3218" displayName="Tableau3218" ref="A4:F53" headerRowCount="1" totalsRowCount="0" totalsRowShown="0">
  <autoFilter ref="A4:F53"/>
  <tableColumns count="6">
    <tableColumn id="1" name="Jour"/>
    <tableColumn id="2" name="Crédit"/>
    <tableColumn id="3" name="Débit"/>
    <tableColumn id="4" name="Raison"/>
    <tableColumn id="5" name="Résultat"/>
    <tableColumn id="6" name="Pvt"/>
  </tableColumns>
</table>
</file>

<file path=xl/tables/table8.xml><?xml version="1.0" encoding="utf-8"?>
<table xmlns="http://schemas.openxmlformats.org/spreadsheetml/2006/main" id="8" name="Tableau3220" displayName="Tableau3220" ref="A4:F43" headerRowCount="1" totalsRowCount="0" totalsRowShown="0">
  <autoFilter ref="A4:F43"/>
  <tableColumns count="6">
    <tableColumn id="1" name="Jour"/>
    <tableColumn id="2" name="Crédit"/>
    <tableColumn id="3" name="Débit"/>
    <tableColumn id="4" name="Raison"/>
    <tableColumn id="5" name="Résultat"/>
    <tableColumn id="6" name="Pvt"/>
  </tableColumns>
</table>
</file>

<file path=xl/tables/table9.xml><?xml version="1.0" encoding="utf-8"?>
<table xmlns="http://schemas.openxmlformats.org/spreadsheetml/2006/main" id="9" name="Tableau3222" displayName="Tableau3222" ref="A4:F44" headerRowCount="1" totalsRowCount="0" totalsRowShown="0">
  <autoFilter ref="A4:F44"/>
  <tableColumns count="6">
    <tableColumn id="1" name="Jour"/>
    <tableColumn id="2" name="Crédit"/>
    <tableColumn id="3" name="Débit"/>
    <tableColumn id="4" name="Raison"/>
    <tableColumn id="5" name="Résultat"/>
    <tableColumn id="6" name="Pvt"/>
  </tableColumns>
</table>
</file>

<file path=xl/tables/table10.xml><?xml version="1.0" encoding="utf-8"?>
<table xmlns="http://schemas.openxmlformats.org/spreadsheetml/2006/main" id="10" name="Tableau322224" displayName="Tableau322224" ref="A4:F48" headerRowCount="1" totalsRowCount="0" totalsRowShown="0">
  <autoFilter ref="A4:F48"/>
  <tableColumns count="6">
    <tableColumn id="1" name="Jour"/>
    <tableColumn id="2" name="Crédit"/>
    <tableColumn id="3" name="Débit"/>
    <tableColumn id="4" name="Raison"/>
    <tableColumn id="5" name="Résultat"/>
    <tableColumn id="6" name="Pvt"/>
  </tableColumns>
</table>
</file>

<file path=xl/tables/table11.xml><?xml version="1.0" encoding="utf-8"?>
<table xmlns="http://schemas.openxmlformats.org/spreadsheetml/2006/main" id="11" name="Tableau325" displayName="Tableau325" ref="A4:F39" headerRowCount="1" totalsRowCount="0" totalsRowShown="0">
  <autoFilter ref="A4:F39"/>
  <tableColumns count="6">
    <tableColumn id="1" name="Jour"/>
    <tableColumn id="2" name="Crédit"/>
    <tableColumn id="3" name="Débit"/>
    <tableColumn id="4" name="Raison"/>
    <tableColumn id="5" name="Résultat"/>
    <tableColumn id="6" name="Pvt"/>
  </tableColumns>
</table>
</file>

<file path=xl/tables/table12.xml><?xml version="1.0" encoding="utf-8"?>
<table xmlns="http://schemas.openxmlformats.org/spreadsheetml/2006/main" id="12" name="Tableau327" displayName="Tableau327" ref="A4:F51" headerRowCount="1" totalsRowCount="0" totalsRowShown="0">
  <autoFilter ref="A4:F51"/>
  <tableColumns count="6">
    <tableColumn id="1" name="Jour"/>
    <tableColumn id="2" name="Crédit"/>
    <tableColumn id="3" name="Débit"/>
    <tableColumn id="4" name="Raison"/>
    <tableColumn id="5" name="Résultat"/>
    <tableColumn id="6" name="Pvt"/>
  </tableColumns>
</table>
</file>

<file path=xl/tables/table13.xml><?xml version="1.0" encoding="utf-8"?>
<table xmlns="http://schemas.openxmlformats.org/spreadsheetml/2006/main" id="13" name="Tableau7323" displayName="Tableau7323" ref="K4:L43" headerRowCount="1" totalsRowCount="0" totalsRowShown="0">
  <autoFilter ref="K4:L43"/>
  <tableColumns count="2">
    <tableColumn id="1" name="PRATIQUE"/>
    <tableColumn id="2" name="Total"/>
  </tableColumns>
</table>
</file>

<file path=xl/tables/table14.xml><?xml version="1.0" encoding="utf-8"?>
<table xmlns="http://schemas.openxmlformats.org/spreadsheetml/2006/main" id="14" name="Tableau732325" displayName="Tableau732325" ref="K4:L43" headerRowCount="1" totalsRowCount="0" totalsRowShown="0">
  <autoFilter ref="K4:L43"/>
  <tableColumns count="2">
    <tableColumn id="1" name="PRATIQUE"/>
    <tableColumn id="2" name="Total"/>
  </tableColumns>
</table>
</file>

<file path=xl/tables/table15.xml><?xml version="1.0" encoding="utf-8"?>
<table xmlns="http://schemas.openxmlformats.org/spreadsheetml/2006/main" id="15" name="Tableau732327" displayName="Tableau732327" ref="K4:L38" headerRowCount="1" totalsRowCount="0" totalsRowShown="0">
  <autoFilter ref="K4:L38"/>
  <tableColumns count="2">
    <tableColumn id="1" name="PRATIQUE"/>
    <tableColumn id="2" name="Total"/>
  </tableColumns>
</table>
</file>

<file path=xl/tables/table16.xml><?xml version="1.0" encoding="utf-8"?>
<table xmlns="http://schemas.openxmlformats.org/spreadsheetml/2006/main" id="16" name="Tableau732328" displayName="Tableau732328" ref="K4:L42" headerRowCount="1" totalsRowCount="0" totalsRowShown="0">
  <autoFilter ref="K4:L42"/>
  <tableColumns count="2">
    <tableColumn id="1" name="PRATIQUE"/>
    <tableColumn id="2" name="Total"/>
  </tableColumns>
</table>
</file>

<file path=xl/tables/table17.xml><?xml version="1.0" encoding="utf-8"?>
<table xmlns="http://schemas.openxmlformats.org/spreadsheetml/2006/main" id="17" name="Tableau732329" displayName="Tableau732329" ref="K4:L43" headerRowCount="1" totalsRowCount="0" totalsRowShown="0">
  <autoFilter ref="K4:L43"/>
  <tableColumns count="2">
    <tableColumn id="1" name="PRATIQUE"/>
    <tableColumn id="2" name="Total"/>
  </tableColumns>
</table>
</file>

<file path=xl/tables/table18.xml><?xml version="1.0" encoding="utf-8"?>
<table xmlns="http://schemas.openxmlformats.org/spreadsheetml/2006/main" id="18" name="Tableau732330" displayName="Tableau732330" ref="K4:L34" headerRowCount="1" totalsRowCount="0" totalsRowShown="0">
  <autoFilter ref="K4:L34"/>
  <tableColumns count="2">
    <tableColumn id="1" name="PRATIQUE"/>
    <tableColumn id="2" name="Total"/>
  </tableColumns>
</table>
</file>

<file path=xl/tables/table19.xml><?xml version="1.0" encoding="utf-8"?>
<table xmlns="http://schemas.openxmlformats.org/spreadsheetml/2006/main" id="19" name="Tableau732331" displayName="Tableau732331" ref="K4:L35" headerRowCount="1" totalsRowCount="0" totalsRowShown="0">
  <autoFilter ref="K4:L35"/>
  <tableColumns count="2">
    <tableColumn id="1" name="PRATIQUE"/>
    <tableColumn id="2" name="Total"/>
  </tableColumns>
</table>
</file>

<file path=xl/tables/table20.xml><?xml version="1.0" encoding="utf-8"?>
<table xmlns="http://schemas.openxmlformats.org/spreadsheetml/2006/main" id="20" name="Tableau732332" displayName="Tableau732332" ref="K4:L36" headerRowCount="1" totalsRowCount="0" totalsRowShown="0">
  <autoFilter ref="K4:L36"/>
  <tableColumns count="2">
    <tableColumn id="1" name="PRATIQUE"/>
    <tableColumn id="2" name="Total"/>
  </tableColumns>
</table>
</file>

<file path=xl/tables/table21.xml><?xml version="1.0" encoding="utf-8"?>
<table xmlns="http://schemas.openxmlformats.org/spreadsheetml/2006/main" id="21" name="Tableau732333" displayName="Tableau732333" ref="K4:L43" headerRowCount="1" totalsRowCount="0" totalsRowShown="0">
  <autoFilter ref="K4:L43"/>
  <tableColumns count="2">
    <tableColumn id="1" name="PRATIQUE"/>
    <tableColumn id="2" name="Total"/>
  </tableColumns>
</table>
</file>

<file path=xl/tables/table22.xml><?xml version="1.0" encoding="utf-8"?>
<table xmlns="http://schemas.openxmlformats.org/spreadsheetml/2006/main" id="22" name="Tableau732334" displayName="Tableau732334" ref="K4:L43" headerRowCount="1" totalsRowCount="0" totalsRowShown="0">
  <autoFilter ref="K4:L43"/>
  <tableColumns count="2">
    <tableColumn id="1" name="PRATIQUE"/>
    <tableColumn id="2" name="Total"/>
  </tableColumns>
</table>
</file>

<file path=xl/tables/table23.xml><?xml version="1.0" encoding="utf-8"?>
<table xmlns="http://schemas.openxmlformats.org/spreadsheetml/2006/main" id="23" name="Tableau732335" displayName="Tableau732335" ref="K4:L43" headerRowCount="1" totalsRowCount="0" totalsRowShown="0">
  <autoFilter ref="K4:L43"/>
  <tableColumns count="2">
    <tableColumn id="1" name="PRATIQUE"/>
    <tableColumn id="2" name="Total"/>
  </tableColumns>
</table>
</file>

<file path=xl/tables/table24.xml><?xml version="1.0" encoding="utf-8"?>
<table xmlns="http://schemas.openxmlformats.org/spreadsheetml/2006/main" id="24" name="Tableau732336" displayName="Tableau732336" ref="K4:L44" headerRowCount="1" totalsRowCount="0" totalsRowShown="0">
  <autoFilter ref="K4:L44"/>
  <tableColumns count="2">
    <tableColumn id="1" name="PRATIQUE"/>
    <tableColumn id="2" name="Total"/>
  </tableColumns>
</table>
</file>

<file path=xl/theme/theme1.xml><?xml version="1.0" encoding="utf-8"?>
<a:theme xmlns:a="http://schemas.openxmlformats.org/drawingml/2006/main" xmlns:r="http://schemas.openxmlformats.org/officeDocument/2006/relationships" name="Thème Offic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0.xml"/><Relationship Id="rId3" Type="http://schemas.openxmlformats.org/officeDocument/2006/relationships/table" Target="../tables/table14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table" Target="../tables/table9.xml"/><Relationship Id="rId3" Type="http://schemas.openxmlformats.org/officeDocument/2006/relationships/table" Target="../tables/table13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8.xml"/><Relationship Id="rId3" Type="http://schemas.openxmlformats.org/officeDocument/2006/relationships/table" Target="../tables/table15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7.xml"/><Relationship Id="rId3" Type="http://schemas.openxmlformats.org/officeDocument/2006/relationships/table" Target="../tables/table16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table" Target="../tables/table6.xml"/><Relationship Id="rId3" Type="http://schemas.openxmlformats.org/officeDocument/2006/relationships/table" Target="../tables/table17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table" Target="../tables/table5.xml"/><Relationship Id="rId3" Type="http://schemas.openxmlformats.org/officeDocument/2006/relationships/table" Target="../tables/table18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table" Target="../tables/table4.xml"/><Relationship Id="rId3" Type="http://schemas.openxmlformats.org/officeDocument/2006/relationships/table" Target="../tables/table19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table" Target="../tables/table3.xml"/><Relationship Id="rId3" Type="http://schemas.openxmlformats.org/officeDocument/2006/relationships/table" Target="../tables/table20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table" Target="../tables/table12.xml"/><Relationship Id="rId3" Type="http://schemas.openxmlformats.org/officeDocument/2006/relationships/table" Target="../tables/table21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table" Target="../tables/table11.xml"/><Relationship Id="rId3" Type="http://schemas.openxmlformats.org/officeDocument/2006/relationships/table" Target="../tables/table22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table" Target="../tables/table2.xml"/><Relationship Id="rId3" Type="http://schemas.openxmlformats.org/officeDocument/2006/relationships/table" Target="../tables/table23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table" Target="../tables/table1.xml"/><Relationship Id="rId3" Type="http://schemas.openxmlformats.org/officeDocument/2006/relationships/table" Target="../tables/table24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drawing" Target="../drawings/drawing1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04857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K23" activeCellId="0" sqref="K23"/>
    </sheetView>
  </sheetViews>
  <sheetFormatPr defaultColWidth="11.4453125" defaultRowHeight="13.8" zeroHeight="false" outlineLevelRow="0" outlineLevelCol="0"/>
  <cols>
    <col collapsed="false" customWidth="true" hidden="false" outlineLevel="0" max="1" min="1" style="1" width="13.88"/>
    <col collapsed="false" customWidth="false" hidden="false" outlineLevel="0" max="3" min="2" style="1" width="11.44"/>
    <col collapsed="false" customWidth="true" hidden="false" outlineLevel="0" max="4" min="4" style="1" width="25.88"/>
    <col collapsed="false" customWidth="true" hidden="false" outlineLevel="0" max="5" min="5" style="1" width="12.88"/>
    <col collapsed="false" customWidth="true" hidden="false" outlineLevel="0" max="6" min="6" style="1" width="8.88"/>
    <col collapsed="false" customWidth="false" hidden="false" outlineLevel="0" max="7" min="7" style="1" width="11.44"/>
    <col collapsed="false" customWidth="true" hidden="false" outlineLevel="0" max="8" min="8" style="1" width="15.56"/>
    <col collapsed="false" customWidth="false" hidden="false" outlineLevel="0" max="10" min="9" style="1" width="11.44"/>
    <col collapsed="false" customWidth="true" hidden="false" outlineLevel="0" max="11" min="11" style="1" width="25.67"/>
    <col collapsed="false" customWidth="true" hidden="false" outlineLevel="0" max="12" min="12" style="1" width="11.56"/>
    <col collapsed="false" customWidth="false" hidden="false" outlineLevel="0" max="13" min="13" style="1" width="11.44"/>
    <col collapsed="false" customWidth="true" hidden="false" outlineLevel="0" max="14" min="14" style="1" width="25.56"/>
    <col collapsed="false" customWidth="false" hidden="false" outlineLevel="0" max="16384" min="15" style="1" width="11.44"/>
  </cols>
  <sheetData>
    <row r="1" customFormat="false" ht="14.25" hidden="false" customHeight="false" outlineLevel="0" collapsed="false">
      <c r="A1" s="2" t="s">
        <v>0</v>
      </c>
      <c r="B1" s="3" t="n">
        <v>1962.6</v>
      </c>
      <c r="D1" s="4" t="s">
        <v>1</v>
      </c>
      <c r="E1" s="3" t="n">
        <f aca="false">SUM(C5:C48)+SUM(B5:B48)-SUMIF(Tableau322224[Raison],"Salaire",Tableau322224[Crédit])</f>
        <v>-3084.28</v>
      </c>
      <c r="F1" s="5"/>
      <c r="G1" s="6"/>
      <c r="H1" s="4" t="s">
        <v>2</v>
      </c>
      <c r="I1" s="3" t="n">
        <f aca="false">SUMIF(Tableau322224[Raison],"Salaire",Tableau322224[Crédit])</f>
        <v>2774.89</v>
      </c>
    </row>
    <row r="2" customFormat="false" ht="15" hidden="false" customHeight="false" outlineLevel="0" collapsed="false">
      <c r="A2" s="2" t="s">
        <v>3</v>
      </c>
      <c r="B2" s="3" t="n">
        <f aca="false">E36</f>
        <v>1653.21</v>
      </c>
      <c r="D2" s="4" t="s">
        <v>4</v>
      </c>
      <c r="E2" s="3" t="n">
        <f aca="false">I1+E1</f>
        <v>-309.39</v>
      </c>
      <c r="F2" s="7"/>
      <c r="G2" s="8" t="n">
        <f aca="false">(100/I1)*E2/100</f>
        <v>-0.111496311565503</v>
      </c>
    </row>
    <row r="3" customFormat="false" ht="14.25" hidden="false" customHeight="false" outlineLevel="0" collapsed="false">
      <c r="F3" s="9"/>
    </row>
    <row r="4" customFormat="false" ht="13.8" hidden="false" customHeight="false" outlineLevel="0" collapsed="false">
      <c r="A4" s="10" t="s">
        <v>5</v>
      </c>
      <c r="B4" s="11" t="s">
        <v>6</v>
      </c>
      <c r="C4" s="12" t="s">
        <v>7</v>
      </c>
      <c r="D4" s="13" t="s">
        <v>8</v>
      </c>
      <c r="E4" s="14" t="s">
        <v>9</v>
      </c>
      <c r="F4" s="15" t="s">
        <v>10</v>
      </c>
      <c r="K4" s="16" t="s">
        <v>11</v>
      </c>
      <c r="L4" s="17" t="s">
        <v>12</v>
      </c>
    </row>
    <row r="5" customFormat="false" ht="13.8" hidden="false" customHeight="false" outlineLevel="0" collapsed="false">
      <c r="A5" s="18" t="n">
        <v>45293</v>
      </c>
      <c r="B5" s="19"/>
      <c r="C5" s="20" t="n">
        <v>-1400</v>
      </c>
      <c r="D5" s="21" t="s">
        <v>13</v>
      </c>
      <c r="E5" s="22" t="n">
        <f aca="false">IF(F5="X",B1+C5+B5,"")</f>
        <v>562.6</v>
      </c>
      <c r="F5" s="23" t="s">
        <v>14</v>
      </c>
      <c r="K5" s="24" t="s">
        <v>15</v>
      </c>
      <c r="L5" s="25" t="n">
        <f aca="false">IF(K5&lt;&gt;"",SUMIF($D$5:$D$55,K5,$C$5:$C$55)+SUMIF($D$5:$D$55,K5,$B$5:$B$55))</f>
        <v>-777</v>
      </c>
    </row>
    <row r="6" customFormat="false" ht="13.8" hidden="false" customHeight="false" outlineLevel="0" collapsed="false">
      <c r="A6" s="18" t="n">
        <v>45293</v>
      </c>
      <c r="B6" s="19"/>
      <c r="C6" s="20" t="n">
        <v>-9</v>
      </c>
      <c r="D6" s="21" t="s">
        <v>16</v>
      </c>
      <c r="E6" s="22" t="n">
        <f aca="false">IF(F6="X",E5+C6+B6,"")</f>
        <v>553.6</v>
      </c>
      <c r="F6" s="23" t="s">
        <v>14</v>
      </c>
      <c r="K6" s="26" t="s">
        <v>17</v>
      </c>
      <c r="L6" s="25" t="n">
        <f aca="false">IF(K6&lt;&gt;"",SUMIF($D$5:$D$55,K6,$C$5:$C$55)+SUMIF($D$5:$D$55,K6,$B$5:$B$55),"")</f>
        <v>-31.5</v>
      </c>
    </row>
    <row r="7" customFormat="false" ht="13.8" hidden="false" customHeight="false" outlineLevel="0" collapsed="false">
      <c r="A7" s="18" t="n">
        <v>45293</v>
      </c>
      <c r="B7" s="19"/>
      <c r="C7" s="20" t="n">
        <v>-80</v>
      </c>
      <c r="D7" s="21" t="s">
        <v>18</v>
      </c>
      <c r="E7" s="22" t="n">
        <f aca="false">IF(F7="X",E6+C7+B7,"")</f>
        <v>473.6</v>
      </c>
      <c r="F7" s="23" t="s">
        <v>14</v>
      </c>
      <c r="K7" s="26" t="s">
        <v>19</v>
      </c>
      <c r="L7" s="25" t="n">
        <f aca="false">IF(K7&lt;&gt;"",SUMIF($D$5:$D$55,K7,$C$5:$C$55)+SUMIF($D$5:$D$55,K7,$B$5:$B$55),"")</f>
        <v>-5.95</v>
      </c>
    </row>
    <row r="8" customFormat="false" ht="13.8" hidden="false" customHeight="false" outlineLevel="0" collapsed="false">
      <c r="A8" s="18" t="n">
        <v>45293</v>
      </c>
      <c r="B8" s="19"/>
      <c r="C8" s="20" t="n">
        <v>-84.04</v>
      </c>
      <c r="D8" s="21" t="s">
        <v>16</v>
      </c>
      <c r="E8" s="22" t="n">
        <f aca="false">IF(F8="X",E7+C8+B8,"")</f>
        <v>389.56</v>
      </c>
      <c r="F8" s="23" t="s">
        <v>14</v>
      </c>
      <c r="K8" s="26" t="s">
        <v>20</v>
      </c>
      <c r="L8" s="25" t="n">
        <f aca="false">IF(K8&lt;&gt;"",SUMIF($D$5:$D$55,K8,$C$5:$C$55)+SUMIF($D$5:$D$55,K8,$B$5:$B$55),"")</f>
        <v>22.05</v>
      </c>
    </row>
    <row r="9" customFormat="false" ht="13.8" hidden="false" customHeight="false" outlineLevel="0" collapsed="false">
      <c r="A9" s="18" t="n">
        <v>45293</v>
      </c>
      <c r="B9" s="19" t="n">
        <v>2774.89</v>
      </c>
      <c r="C9" s="20"/>
      <c r="D9" s="21" t="s">
        <v>21</v>
      </c>
      <c r="E9" s="22" t="n">
        <f aca="false">IF(F9="X",E8+C9+B9,"")</f>
        <v>3164.45</v>
      </c>
      <c r="F9" s="23" t="s">
        <v>14</v>
      </c>
      <c r="K9" s="26" t="s">
        <v>22</v>
      </c>
      <c r="L9" s="25" t="n">
        <f aca="false">IF(K9&lt;&gt;"",SUMIF($D$5:$D$55,K9,$C$5:$C$55)+SUMIF($D$5:$D$55,K9,$B$5:$B$55),"")</f>
        <v>184.81</v>
      </c>
    </row>
    <row r="10" customFormat="false" ht="13.8" hidden="false" customHeight="false" outlineLevel="0" collapsed="false">
      <c r="A10" s="18" t="n">
        <v>45293</v>
      </c>
      <c r="B10" s="19"/>
      <c r="C10" s="20" t="n">
        <v>-50</v>
      </c>
      <c r="D10" s="21" t="s">
        <v>15</v>
      </c>
      <c r="E10" s="22" t="n">
        <f aca="false">IF(F10="X",E9+C10+B10,"")</f>
        <v>3114.45</v>
      </c>
      <c r="F10" s="27" t="s">
        <v>14</v>
      </c>
      <c r="K10" s="26" t="s">
        <v>23</v>
      </c>
      <c r="L10" s="25" t="n">
        <f aca="false">IF(K10&lt;&gt;"",SUMIF($D$5:$D$55,K10,$C$5:$C$55)+SUMIF($D$5:$D$55,K10,$B$5:$B$55),"")</f>
        <v>-12.1</v>
      </c>
    </row>
    <row r="11" customFormat="false" ht="13.8" hidden="false" customHeight="false" outlineLevel="0" collapsed="false">
      <c r="A11" s="28" t="n">
        <v>45293</v>
      </c>
      <c r="B11" s="19"/>
      <c r="C11" s="20" t="n">
        <v>-230</v>
      </c>
      <c r="D11" s="21" t="s">
        <v>15</v>
      </c>
      <c r="E11" s="22" t="n">
        <f aca="false">IF(F11="X",E10+C11+B11,"")</f>
        <v>2884.45</v>
      </c>
      <c r="F11" s="27" t="s">
        <v>14</v>
      </c>
      <c r="K11" s="26" t="s">
        <v>24</v>
      </c>
      <c r="L11" s="25" t="n">
        <f aca="false">IF(K11&lt;&gt;"",SUMIF($D$5:$D$55,K11,$C$5:$C$55)+SUMIF($D$5:$D$55,K11,$B$5:$B$55),"")</f>
        <v>-109.4</v>
      </c>
    </row>
    <row r="12" customFormat="false" ht="13.8" hidden="false" customHeight="false" outlineLevel="0" collapsed="false">
      <c r="A12" s="28" t="n">
        <v>45294</v>
      </c>
      <c r="B12" s="19"/>
      <c r="C12" s="20" t="n">
        <v>-4.75</v>
      </c>
      <c r="D12" s="21" t="s">
        <v>25</v>
      </c>
      <c r="E12" s="22" t="n">
        <f aca="false">IF(F12="X",E11+C12+B12,"")</f>
        <v>2879.7</v>
      </c>
      <c r="F12" s="27" t="s">
        <v>14</v>
      </c>
      <c r="K12" s="26" t="s">
        <v>26</v>
      </c>
      <c r="L12" s="25" t="n">
        <f aca="false">IF(K12&lt;&gt;"",SUMIF($D$5:$D$55,K12,$C$5:$C$55)+SUMIF($D$5:$D$55,K12,$B$5:$B$55),"")</f>
        <v>-49.5</v>
      </c>
    </row>
    <row r="13" customFormat="false" ht="13.8" hidden="false" customHeight="false" outlineLevel="0" collapsed="false">
      <c r="A13" s="28" t="n">
        <v>45295</v>
      </c>
      <c r="B13" s="19"/>
      <c r="C13" s="20" t="n">
        <v>-15</v>
      </c>
      <c r="D13" s="21" t="s">
        <v>15</v>
      </c>
      <c r="E13" s="22" t="n">
        <f aca="false">IF(F13="X",E12+C13+B13,"")</f>
        <v>2864.7</v>
      </c>
      <c r="F13" s="27" t="s">
        <v>14</v>
      </c>
      <c r="K13" s="26" t="s">
        <v>27</v>
      </c>
      <c r="L13" s="25" t="n">
        <f aca="false">IF(K13&lt;&gt;"",SUMIF($D$5:$D$55,K13,$C$5:$C$55)+SUMIF($D$5:$D$55,K13,$B$5:$B$55),"")</f>
        <v>50</v>
      </c>
    </row>
    <row r="14" customFormat="false" ht="13.8" hidden="false" customHeight="false" outlineLevel="0" collapsed="false">
      <c r="A14" s="28" t="n">
        <v>45296</v>
      </c>
      <c r="B14" s="19" t="n">
        <v>184.81</v>
      </c>
      <c r="C14" s="20"/>
      <c r="D14" s="21" t="s">
        <v>22</v>
      </c>
      <c r="E14" s="22" t="n">
        <f aca="false">IF(F14="X",E13+C14+B14,"")</f>
        <v>3049.51</v>
      </c>
      <c r="F14" s="27" t="s">
        <v>14</v>
      </c>
      <c r="K14" s="26" t="s">
        <v>28</v>
      </c>
      <c r="L14" s="25" t="n">
        <f aca="false">IF(K14&lt;&gt;"",SUMIF($D$5:$D$55,K14,$C$5:$C$55)+SUMIF($D$5:$D$55,K14,$B$5:$B$55),"")</f>
        <v>-25</v>
      </c>
    </row>
    <row r="15" customFormat="false" ht="13.8" hidden="false" customHeight="false" outlineLevel="0" collapsed="false">
      <c r="A15" s="28" t="n">
        <v>45299</v>
      </c>
      <c r="B15" s="19"/>
      <c r="C15" s="20" t="n">
        <v>-7.3</v>
      </c>
      <c r="D15" s="21" t="s">
        <v>29</v>
      </c>
      <c r="E15" s="22" t="n">
        <f aca="false">IF(F15="X",E14+C15+B15,"")</f>
        <v>3042.21</v>
      </c>
      <c r="F15" s="27" t="s">
        <v>14</v>
      </c>
      <c r="K15" s="26" t="s">
        <v>29</v>
      </c>
      <c r="L15" s="25" t="n">
        <f aca="false">IF(K15&lt;&gt;"",SUMIF($D$5:$D$55,K15,$C$5:$C$55)+SUMIF($D$5:$D$55,K15,$B$5:$B$55),"")</f>
        <v>-7.3</v>
      </c>
    </row>
    <row r="16" customFormat="false" ht="13.8" hidden="false" customHeight="false" outlineLevel="0" collapsed="false">
      <c r="A16" s="28" t="n">
        <v>45299</v>
      </c>
      <c r="B16" s="19"/>
      <c r="C16" s="20" t="n">
        <v>-300</v>
      </c>
      <c r="D16" s="21" t="s">
        <v>15</v>
      </c>
      <c r="E16" s="22" t="n">
        <f aca="false">IF(F16="X",E15+C16+B16,"")</f>
        <v>2742.21</v>
      </c>
      <c r="F16" s="27" t="s">
        <v>14</v>
      </c>
      <c r="K16" s="26" t="s">
        <v>25</v>
      </c>
      <c r="L16" s="25" t="n">
        <f aca="false">IF(K16&lt;&gt;"",SUMIF($D$5:$D$55,K16,$C$5:$C$55)+SUMIF($D$5:$D$55,K16,$B$5:$B$55),"")</f>
        <v>-4.75</v>
      </c>
    </row>
    <row r="17" customFormat="false" ht="13.8" hidden="false" customHeight="false" outlineLevel="0" collapsed="false">
      <c r="A17" s="28" t="n">
        <v>45300</v>
      </c>
      <c r="B17" s="19"/>
      <c r="C17" s="20" t="n">
        <v>-182</v>
      </c>
      <c r="D17" s="21" t="s">
        <v>15</v>
      </c>
      <c r="E17" s="22" t="n">
        <f aca="false">IF(F17="X",E16+C17+B17,"")</f>
        <v>2560.21</v>
      </c>
      <c r="F17" s="27" t="s">
        <v>14</v>
      </c>
      <c r="K17" s="26" t="s">
        <v>30</v>
      </c>
      <c r="L17" s="25" t="n">
        <f aca="false">IF(K17&lt;&gt;"",SUMIF($D$5:$D$55,K17,$C$5:$C$55)+SUMIF($D$5:$D$55,K17,$B$5:$B$55),"")</f>
        <v>-73.15</v>
      </c>
    </row>
    <row r="18" customFormat="false" ht="13.8" hidden="false" customHeight="false" outlineLevel="0" collapsed="false">
      <c r="A18" s="28" t="n">
        <v>45301</v>
      </c>
      <c r="B18" s="19"/>
      <c r="C18" s="20" t="n">
        <v>-31.5</v>
      </c>
      <c r="D18" s="21" t="s">
        <v>17</v>
      </c>
      <c r="E18" s="22" t="n">
        <f aca="false">IF(F18="X",E17+C18+B18,"")</f>
        <v>2528.71</v>
      </c>
      <c r="F18" s="27" t="s">
        <v>14</v>
      </c>
      <c r="K18" s="26" t="s">
        <v>31</v>
      </c>
      <c r="L18" s="25" t="n">
        <f aca="false">IF(K18&lt;&gt;"",SUMIF($D$5:$D$55,K18,$C$5:$C$55)+SUMIF($D$5:$D$55,K18,$B$5:$B$55),"")</f>
        <v>-16</v>
      </c>
    </row>
    <row r="19" customFormat="false" ht="13.8" hidden="false" customHeight="false" outlineLevel="0" collapsed="false">
      <c r="A19" s="28" t="n">
        <v>45301</v>
      </c>
      <c r="B19" s="19"/>
      <c r="C19" s="20" t="n">
        <v>-5.95</v>
      </c>
      <c r="D19" s="21" t="s">
        <v>19</v>
      </c>
      <c r="E19" s="22" t="n">
        <f aca="false">IF(F19="X",E18+C19+B19,"")</f>
        <v>2522.76</v>
      </c>
      <c r="F19" s="27" t="s">
        <v>14</v>
      </c>
      <c r="K19" s="26" t="s">
        <v>32</v>
      </c>
      <c r="L19" s="25" t="n">
        <f aca="false">IF(K19&lt;&gt;"",SUMIF($D$5:$D$55,K19,$C$5:$C$55)+SUMIF($D$5:$D$55,K19,$B$5:$B$55),"")</f>
        <v>-50</v>
      </c>
    </row>
    <row r="20" customFormat="false" ht="13.8" hidden="false" customHeight="false" outlineLevel="0" collapsed="false">
      <c r="A20" s="28" t="n">
        <v>45301</v>
      </c>
      <c r="B20" s="19"/>
      <c r="C20" s="20" t="n">
        <v>-15</v>
      </c>
      <c r="D20" s="21" t="s">
        <v>33</v>
      </c>
      <c r="E20" s="22" t="n">
        <f aca="false">IF(F20="X",E19+C20+B20,"")</f>
        <v>2507.76</v>
      </c>
      <c r="F20" s="27" t="s">
        <v>14</v>
      </c>
      <c r="K20" s="26" t="s">
        <v>34</v>
      </c>
      <c r="L20" s="25" t="n">
        <f aca="false">IF(K20&lt;&gt;"",SUMIF($D$5:$D$55,K20,$C$5:$C$55)+SUMIF($D$5:$D$55,K20,$B$5:$B$55),"")</f>
        <v>-174</v>
      </c>
    </row>
    <row r="21" customFormat="false" ht="13.8" hidden="false" customHeight="false" outlineLevel="0" collapsed="false">
      <c r="A21" s="28" t="n">
        <v>45302</v>
      </c>
      <c r="B21" s="19"/>
      <c r="C21" s="20" t="n">
        <v>-26.17</v>
      </c>
      <c r="D21" s="21" t="s">
        <v>35</v>
      </c>
      <c r="E21" s="22" t="n">
        <f aca="false">IF(F21="X",E20+C21+B21,"")</f>
        <v>2481.59</v>
      </c>
      <c r="F21" s="27" t="s">
        <v>14</v>
      </c>
      <c r="K21" s="26" t="s">
        <v>36</v>
      </c>
      <c r="L21" s="25" t="n">
        <f aca="false">IF(K21&lt;&gt;"",SUMIF($D$5:$D$55,K21,$C$5:$C$55)+SUMIF($D$5:$D$55,K21,$B$5:$B$55),"")</f>
        <v>-160</v>
      </c>
    </row>
    <row r="22" customFormat="false" ht="13.8" hidden="false" customHeight="false" outlineLevel="0" collapsed="false">
      <c r="A22" s="28" t="n">
        <v>45303</v>
      </c>
      <c r="B22" s="19" t="n">
        <v>22.05</v>
      </c>
      <c r="C22" s="20"/>
      <c r="D22" s="21" t="s">
        <v>20</v>
      </c>
      <c r="E22" s="22" t="n">
        <f aca="false">IF(F22="X",E21+C22+B22,"")</f>
        <v>2503.64</v>
      </c>
      <c r="F22" s="27" t="s">
        <v>14</v>
      </c>
      <c r="K22" s="26" t="s">
        <v>37</v>
      </c>
      <c r="L22" s="25" t="n">
        <f aca="false">IF(K22&lt;&gt;"",SUMIF($D$5:$D$55,K22,$C$5:$C$55)+SUMIF($D$5:$D$55,K22,$B$5:$B$55),"")</f>
        <v>-61.7</v>
      </c>
    </row>
    <row r="23" customFormat="false" ht="13.8" hidden="false" customHeight="false" outlineLevel="0" collapsed="false">
      <c r="A23" s="28" t="n">
        <v>45304</v>
      </c>
      <c r="B23" s="19" t="n">
        <v>50</v>
      </c>
      <c r="C23" s="20"/>
      <c r="D23" s="21" t="s">
        <v>27</v>
      </c>
      <c r="E23" s="22" t="n">
        <f aca="false">IF(F23="X",E22+C23+B23,"")</f>
        <v>2553.64</v>
      </c>
      <c r="F23" s="27" t="s">
        <v>14</v>
      </c>
      <c r="K23" s="26"/>
      <c r="L23" s="25" t="str">
        <f aca="false">IF(K23&lt;&gt;"",SUMIF($D$5:$D$55,K23,$C$5:$C$55)+SUMIF($D$5:$D$55,K23,$B$5:$B$55),"")</f>
        <v/>
      </c>
    </row>
    <row r="24" customFormat="false" ht="13.8" hidden="false" customHeight="false" outlineLevel="0" collapsed="false">
      <c r="A24" s="28" t="n">
        <v>45306</v>
      </c>
      <c r="B24" s="19"/>
      <c r="C24" s="20" t="n">
        <v>-25</v>
      </c>
      <c r="D24" s="21" t="s">
        <v>38</v>
      </c>
      <c r="E24" s="22" t="n">
        <f aca="false">IF(F24="X",E23+C24+B24,"")</f>
        <v>2528.64</v>
      </c>
      <c r="F24" s="27" t="s">
        <v>14</v>
      </c>
      <c r="K24" s="26"/>
      <c r="L24" s="25" t="str">
        <f aca="false">IF(K24&lt;&gt;"",SUMIF($D$5:$D$55,K24,$C$5:$C$55)+SUMIF($D$5:$D$55,K24,$B$5:$B$55),"")</f>
        <v/>
      </c>
    </row>
    <row r="25" customFormat="false" ht="13.8" hidden="false" customHeight="false" outlineLevel="0" collapsed="false">
      <c r="A25" s="28" t="n">
        <v>45306</v>
      </c>
      <c r="B25" s="19"/>
      <c r="C25" s="20" t="n">
        <v>-12.1</v>
      </c>
      <c r="D25" s="21" t="s">
        <v>23</v>
      </c>
      <c r="E25" s="22" t="n">
        <f aca="false">IF(F25="X",E24+C25+B25,"")</f>
        <v>2516.54</v>
      </c>
      <c r="F25" s="27" t="s">
        <v>14</v>
      </c>
      <c r="K25" s="26"/>
      <c r="L25" s="29"/>
    </row>
    <row r="26" customFormat="false" ht="13.8" hidden="false" customHeight="false" outlineLevel="0" collapsed="false">
      <c r="A26" s="28" t="n">
        <v>45306</v>
      </c>
      <c r="B26" s="19"/>
      <c r="C26" s="20" t="n">
        <v>-120</v>
      </c>
      <c r="D26" s="21" t="s">
        <v>39</v>
      </c>
      <c r="E26" s="22" t="n">
        <f aca="false">IF(F26="X",E25+C26+B26,"")</f>
        <v>2396.54</v>
      </c>
      <c r="F26" s="27" t="s">
        <v>14</v>
      </c>
      <c r="K26" s="26"/>
      <c r="L26" s="29"/>
    </row>
    <row r="27" customFormat="false" ht="13.8" hidden="false" customHeight="false" outlineLevel="0" collapsed="false">
      <c r="A27" s="28" t="n">
        <v>45309</v>
      </c>
      <c r="B27" s="19"/>
      <c r="C27" s="20" t="n">
        <v>-35.99</v>
      </c>
      <c r="D27" s="21" t="s">
        <v>40</v>
      </c>
      <c r="E27" s="22" t="n">
        <f aca="false">IF(F27="X",E26+C27+B27,"")</f>
        <v>2360.55</v>
      </c>
      <c r="F27" s="27" t="s">
        <v>14</v>
      </c>
      <c r="K27" s="26"/>
      <c r="L27" s="29"/>
    </row>
    <row r="28" customFormat="false" ht="13.8" hidden="false" customHeight="false" outlineLevel="0" collapsed="false">
      <c r="A28" s="28" t="n">
        <v>45310</v>
      </c>
      <c r="B28" s="19"/>
      <c r="C28" s="20" t="n">
        <v>-109.4</v>
      </c>
      <c r="D28" s="21" t="s">
        <v>24</v>
      </c>
      <c r="E28" s="22" t="n">
        <f aca="false">IF(F28="X",E27+C28+B28,"")</f>
        <v>2251.15</v>
      </c>
      <c r="F28" s="27" t="s">
        <v>14</v>
      </c>
      <c r="K28" s="26"/>
      <c r="L28" s="29"/>
    </row>
    <row r="29" customFormat="false" ht="13.8" hidden="false" customHeight="false" outlineLevel="0" collapsed="false">
      <c r="A29" s="28" t="n">
        <v>45310</v>
      </c>
      <c r="B29" s="30"/>
      <c r="C29" s="31" t="n">
        <v>-13.59</v>
      </c>
      <c r="D29" s="21" t="s">
        <v>40</v>
      </c>
      <c r="E29" s="22" t="n">
        <f aca="false">IF(F29="X",E28+C29+B29,"")</f>
        <v>2237.56</v>
      </c>
      <c r="F29" s="23" t="s">
        <v>14</v>
      </c>
      <c r="K29" s="26"/>
      <c r="L29" s="29"/>
    </row>
    <row r="30" customFormat="false" ht="13.8" hidden="false" customHeight="false" outlineLevel="0" collapsed="false">
      <c r="A30" s="28" t="n">
        <v>45310</v>
      </c>
      <c r="B30" s="19"/>
      <c r="C30" s="20" t="n">
        <v>-49.5</v>
      </c>
      <c r="D30" s="21" t="s">
        <v>26</v>
      </c>
      <c r="E30" s="22" t="n">
        <f aca="false">IF(F30="X",E29+C30+B30,"")</f>
        <v>2188.06</v>
      </c>
      <c r="F30" s="23" t="s">
        <v>14</v>
      </c>
      <c r="K30" s="26"/>
      <c r="L30" s="29"/>
    </row>
    <row r="31" customFormat="false" ht="13.8" hidden="false" customHeight="false" outlineLevel="0" collapsed="false">
      <c r="A31" s="28" t="n">
        <v>45314</v>
      </c>
      <c r="B31" s="19"/>
      <c r="C31" s="20" t="n">
        <v>-73.15</v>
      </c>
      <c r="D31" s="21" t="s">
        <v>30</v>
      </c>
      <c r="E31" s="22" t="n">
        <f aca="false">IF(F31="X",E30+C31+B31,"")</f>
        <v>2114.91</v>
      </c>
      <c r="F31" s="27" t="s">
        <v>14</v>
      </c>
      <c r="K31" s="26"/>
      <c r="L31" s="29"/>
    </row>
    <row r="32" customFormat="false" ht="13.8" hidden="false" customHeight="false" outlineLevel="0" collapsed="false">
      <c r="A32" s="28" t="n">
        <v>45317</v>
      </c>
      <c r="B32" s="19"/>
      <c r="C32" s="20" t="n">
        <v>-50</v>
      </c>
      <c r="D32" s="21" t="s">
        <v>32</v>
      </c>
      <c r="E32" s="22" t="n">
        <f aca="false">IF(F32="X",E31+C32+B32,"")</f>
        <v>2064.91</v>
      </c>
      <c r="F32" s="27" t="s">
        <v>14</v>
      </c>
      <c r="K32" s="26"/>
      <c r="L32" s="29"/>
    </row>
    <row r="33" customFormat="false" ht="13.8" hidden="false" customHeight="false" outlineLevel="0" collapsed="false">
      <c r="A33" s="28" t="n">
        <v>45317</v>
      </c>
      <c r="B33" s="19"/>
      <c r="C33" s="20" t="n">
        <v>-16</v>
      </c>
      <c r="D33" s="21" t="s">
        <v>31</v>
      </c>
      <c r="E33" s="22" t="n">
        <f aca="false">IF(F33="X",E32+C33+B33,"")</f>
        <v>2048.91</v>
      </c>
      <c r="F33" s="27" t="s">
        <v>14</v>
      </c>
      <c r="K33" s="26"/>
      <c r="L33" s="29"/>
    </row>
    <row r="34" customFormat="false" ht="13.8" hidden="false" customHeight="false" outlineLevel="0" collapsed="false">
      <c r="A34" s="28" t="n">
        <v>45321</v>
      </c>
      <c r="B34" s="19"/>
      <c r="C34" s="20" t="n">
        <v>-61.7</v>
      </c>
      <c r="D34" s="21" t="s">
        <v>37</v>
      </c>
      <c r="E34" s="22" t="n">
        <f aca="false">IF(F34="X",E33+C34+B34,"")</f>
        <v>1987.21</v>
      </c>
      <c r="F34" s="27" t="s">
        <v>14</v>
      </c>
      <c r="K34" s="26"/>
      <c r="L34" s="29"/>
    </row>
    <row r="35" customFormat="false" ht="13.8" hidden="false" customHeight="false" outlineLevel="0" collapsed="false">
      <c r="A35" s="28" t="n">
        <v>45322</v>
      </c>
      <c r="B35" s="19"/>
      <c r="C35" s="20" t="n">
        <v>-174</v>
      </c>
      <c r="D35" s="21" t="s">
        <v>34</v>
      </c>
      <c r="E35" s="22" t="n">
        <f aca="false">IF(F35="X",E34+C35+B35,"")</f>
        <v>1813.21</v>
      </c>
      <c r="F35" s="27" t="s">
        <v>14</v>
      </c>
      <c r="K35" s="26"/>
      <c r="L35" s="29" t="str">
        <f aca="false">IF(K35&lt;&gt;"",SUMIF(Tableau322224[Raison],K35,Tableau322224[Crédit])+SUMIF(Tableau322224[Raison],K35,Tableau322224[Débit]),"")</f>
        <v/>
      </c>
    </row>
    <row r="36" customFormat="false" ht="13.8" hidden="false" customHeight="false" outlineLevel="0" collapsed="false">
      <c r="A36" s="28" t="n">
        <v>45322</v>
      </c>
      <c r="B36" s="19"/>
      <c r="C36" s="20" t="n">
        <v>-160</v>
      </c>
      <c r="D36" s="21" t="s">
        <v>36</v>
      </c>
      <c r="E36" s="22" t="n">
        <f aca="false">IF(F36="X",E35+C36+B36,"")</f>
        <v>1653.21</v>
      </c>
      <c r="F36" s="27" t="s">
        <v>14</v>
      </c>
      <c r="K36" s="26"/>
      <c r="L36" s="29" t="str">
        <f aca="false">IF(K36&lt;&gt;"",SUMIF(Tableau322224[Raison],K36,Tableau322224[Crédit])+SUMIF(Tableau322224[Raison],K36,Tableau322224[Débit]),"")</f>
        <v/>
      </c>
    </row>
    <row r="37" customFormat="false" ht="13.8" hidden="false" customHeight="false" outlineLevel="0" collapsed="false">
      <c r="A37" s="28"/>
      <c r="B37" s="19"/>
      <c r="C37" s="20"/>
      <c r="D37" s="21"/>
      <c r="E37" s="22" t="str">
        <f aca="false">IF(F37="X",E36+C37+B37,"")</f>
        <v/>
      </c>
      <c r="F37" s="27"/>
      <c r="K37" s="26"/>
      <c r="L37" s="29" t="str">
        <f aca="false">IF(K37&lt;&gt;"",SUMIF(Tableau322224[Raison],K37,Tableau322224[Crédit])+SUMIF(Tableau322224[Raison],K37,Tableau322224[Débit]),"")</f>
        <v/>
      </c>
    </row>
    <row r="38" customFormat="false" ht="13.8" hidden="false" customHeight="false" outlineLevel="0" collapsed="false">
      <c r="A38" s="28"/>
      <c r="B38" s="19"/>
      <c r="C38" s="20"/>
      <c r="D38" s="21"/>
      <c r="E38" s="22" t="str">
        <f aca="false">IF(F38="X",E37+C38+B38,"")</f>
        <v/>
      </c>
      <c r="F38" s="27"/>
      <c r="K38" s="26"/>
      <c r="L38" s="29" t="str">
        <f aca="false">IF(K38&lt;&gt;"",SUMIF(Tableau322224[Raison],K38,Tableau322224[Crédit])+SUMIF(Tableau322224[Raison],K38,Tableau322224[Débit]),"")</f>
        <v/>
      </c>
    </row>
    <row r="39" customFormat="false" ht="13.8" hidden="false" customHeight="false" outlineLevel="0" collapsed="false">
      <c r="A39" s="28"/>
      <c r="B39" s="19"/>
      <c r="C39" s="20"/>
      <c r="D39" s="21"/>
      <c r="E39" s="22" t="str">
        <f aca="false">IF(F39="X",E38+C39+B39,"")</f>
        <v/>
      </c>
      <c r="F39" s="27"/>
      <c r="K39" s="26"/>
      <c r="L39" s="29" t="str">
        <f aca="false">IF(K39&lt;&gt;"",SUMIF(Tableau322224[Raison],K39,Tableau322224[Crédit])+SUMIF(Tableau322224[Raison],K39,Tableau322224[Débit]),"")</f>
        <v/>
      </c>
    </row>
    <row r="40" customFormat="false" ht="13.8" hidden="false" customHeight="false" outlineLevel="0" collapsed="false">
      <c r="A40" s="28"/>
      <c r="B40" s="19"/>
      <c r="C40" s="20"/>
      <c r="D40" s="21"/>
      <c r="E40" s="22" t="str">
        <f aca="false">IF(F40="X",#REF!+C40+B40,"")</f>
        <v/>
      </c>
      <c r="F40" s="27"/>
      <c r="K40" s="32"/>
      <c r="L40" s="32"/>
    </row>
    <row r="41" customFormat="false" ht="13.8" hidden="false" customHeight="false" outlineLevel="0" collapsed="false">
      <c r="A41" s="28"/>
      <c r="B41" s="19"/>
      <c r="C41" s="20"/>
      <c r="D41" s="21"/>
      <c r="E41" s="22" t="str">
        <f aca="false">IF(F41="X",E40+C41+B41,"")</f>
        <v/>
      </c>
      <c r="F41" s="27"/>
      <c r="K41" s="33" t="s">
        <v>41</v>
      </c>
      <c r="L41" s="29" t="n">
        <f aca="false">SUMIF(D5:D48,"Orange",C5:C48)+SUMIF(D5:D48,"TEGO",C5:C48)+SUMIF(D5:D48,"Carac",C5:C48)+SUMIF(D5:D48,"UNEO",C5:C48)+SUMIF(D5:D48,"Crédit Mutuel",C5:C48)+SUMIF(D5:D48,"Darkwood",C5:C48)+SUMIF(D5:D48,"Loyer",C5:C48)+SUMIF(D5:D48,"GoWod",C5:C48)+SUMIF(D5:D48,"EPARMIL",C5:C48)+SUMIF(D5:D48,"Virement Livret Bébé",C5:C48)+SUMIF(D5:D48,"Virement A",C5:C48)</f>
        <v>-1783.79</v>
      </c>
    </row>
    <row r="42" customFormat="false" ht="13.8" hidden="false" customHeight="false" outlineLevel="0" collapsed="false">
      <c r="A42" s="28"/>
      <c r="B42" s="19"/>
      <c r="C42" s="20"/>
      <c r="D42" s="21"/>
      <c r="E42" s="22" t="str">
        <f aca="false">IF(F42="X",E41+C42+B42,"")</f>
        <v/>
      </c>
      <c r="F42" s="27"/>
      <c r="K42" s="34"/>
      <c r="L42" s="34"/>
    </row>
    <row r="43" customFormat="false" ht="13.8" hidden="false" customHeight="false" outlineLevel="0" collapsed="false">
      <c r="A43" s="28"/>
      <c r="B43" s="19"/>
      <c r="C43" s="20"/>
      <c r="D43" s="21"/>
      <c r="E43" s="22" t="str">
        <f aca="false">IF(F43="X",E42+C43+B43,"")</f>
        <v/>
      </c>
      <c r="F43" s="27"/>
      <c r="K43" s="35" t="s">
        <v>12</v>
      </c>
      <c r="L43" s="29" t="n">
        <f aca="false">SUM(L4:L41)</f>
        <v>-3084.28</v>
      </c>
    </row>
    <row r="44" customFormat="false" ht="13.8" hidden="false" customHeight="false" outlineLevel="0" collapsed="false">
      <c r="A44" s="28"/>
      <c r="B44" s="19"/>
      <c r="C44" s="20"/>
      <c r="D44" s="21"/>
      <c r="E44" s="22" t="str">
        <f aca="false">IF(F44="X",E43+C44+B44,"")</f>
        <v/>
      </c>
      <c r="F44" s="27"/>
      <c r="K44" s="35" t="s">
        <v>42</v>
      </c>
      <c r="L44" s="29" t="n">
        <f aca="false">I1+L43</f>
        <v>-309.39</v>
      </c>
    </row>
    <row r="45" customFormat="false" ht="13.8" hidden="false" customHeight="false" outlineLevel="0" collapsed="false">
      <c r="A45" s="28"/>
      <c r="B45" s="19"/>
      <c r="C45" s="20"/>
      <c r="D45" s="21"/>
      <c r="E45" s="22" t="str">
        <f aca="false">IF(F45="X",E44+C45+B45,"")</f>
        <v/>
      </c>
      <c r="F45" s="27"/>
    </row>
    <row r="46" customFormat="false" ht="13.8" hidden="false" customHeight="false" outlineLevel="0" collapsed="false">
      <c r="A46" s="28"/>
      <c r="B46" s="19"/>
      <c r="C46" s="20"/>
      <c r="D46" s="21"/>
      <c r="E46" s="22" t="str">
        <f aca="false">IF(F46="X",E45+C46+B46,"")</f>
        <v/>
      </c>
      <c r="F46" s="27"/>
    </row>
    <row r="47" customFormat="false" ht="13.8" hidden="false" customHeight="false" outlineLevel="0" collapsed="false">
      <c r="A47" s="28"/>
      <c r="B47" s="19"/>
      <c r="C47" s="20"/>
      <c r="D47" s="21"/>
      <c r="E47" s="22" t="str">
        <f aca="false">IF(F47="X",E46+C47+B47,"")</f>
        <v/>
      </c>
      <c r="F47" s="27"/>
    </row>
    <row r="48" customFormat="false" ht="13.8" hidden="false" customHeight="false" outlineLevel="0" collapsed="false">
      <c r="A48" s="28"/>
      <c r="B48" s="19"/>
      <c r="C48" s="20"/>
      <c r="D48" s="21"/>
      <c r="E48" s="22"/>
      <c r="F48" s="27"/>
    </row>
    <row r="57" customFormat="false" ht="13.8" hidden="false" customHeight="false" outlineLevel="0" collapsed="false">
      <c r="J57" s="36"/>
    </row>
    <row r="1048575" customFormat="false" ht="12.8" hidden="false" customHeight="false" outlineLevel="0" collapsed="false"/>
    <row r="1048576" customFormat="false" ht="12.8" hidden="false" customHeight="false" outlineLevel="0" collapsed="false"/>
  </sheetData>
  <mergeCells count="1">
    <mergeCell ref="K42:L42"/>
  </mergeCells>
  <conditionalFormatting sqref="L6:L39">
    <cfRule type="cellIs" priority="2" operator="lessThan" aboveAverage="0" equalAverage="0" bottom="0" percent="0" rank="0" text="" dxfId="7">
      <formula>0</formula>
    </cfRule>
    <cfRule type="cellIs" priority="3" operator="greaterThan" aboveAverage="0" equalAverage="0" bottom="0" percent="0" rank="0" text="" dxfId="8">
      <formula>0</formula>
    </cfRule>
  </conditionalFormatting>
  <conditionalFormatting sqref="K37">
    <cfRule type="expression" priority="4" aboveAverage="0" equalAverage="0" bottom="0" percent="0" rank="0" text="" dxfId="9">
      <formula>L37&gt;0</formula>
    </cfRule>
    <cfRule type="expression" priority="5" aboveAverage="0" equalAverage="0" bottom="0" percent="0" rank="0" text="" dxfId="10">
      <formula>L37&lt;0</formula>
    </cfRule>
  </conditionalFormatting>
  <conditionalFormatting sqref="K36">
    <cfRule type="expression" priority="6" aboveAverage="0" equalAverage="0" bottom="0" percent="0" rank="0" text="" dxfId="11">
      <formula>L36&gt;0</formula>
    </cfRule>
    <cfRule type="expression" priority="7" aboveAverage="0" equalAverage="0" bottom="0" percent="0" rank="0" text="" dxfId="12">
      <formula>L36&lt;0</formula>
    </cfRule>
  </conditionalFormatting>
  <conditionalFormatting sqref="K35">
    <cfRule type="expression" priority="8" aboveAverage="0" equalAverage="0" bottom="0" percent="0" rank="0" text="" dxfId="13">
      <formula>L35&gt;0</formula>
    </cfRule>
    <cfRule type="expression" priority="9" aboveAverage="0" equalAverage="0" bottom="0" percent="0" rank="0" text="" dxfId="14">
      <formula>L35&lt;0</formula>
    </cfRule>
  </conditionalFormatting>
  <conditionalFormatting sqref="K34">
    <cfRule type="expression" priority="10" aboveAverage="0" equalAverage="0" bottom="0" percent="0" rank="0" text="" dxfId="15">
      <formula>L34&gt;0</formula>
    </cfRule>
    <cfRule type="expression" priority="11" aboveAverage="0" equalAverage="0" bottom="0" percent="0" rank="0" text="" dxfId="16">
      <formula>L34&lt;0</formula>
    </cfRule>
  </conditionalFormatting>
  <conditionalFormatting sqref="K33">
    <cfRule type="expression" priority="12" aboveAverage="0" equalAverage="0" bottom="0" percent="0" rank="0" text="" dxfId="17">
      <formula>L33&gt;0</formula>
    </cfRule>
    <cfRule type="expression" priority="13" aboveAverage="0" equalAverage="0" bottom="0" percent="0" rank="0" text="" dxfId="18">
      <formula>L33&lt;0</formula>
    </cfRule>
  </conditionalFormatting>
  <conditionalFormatting sqref="K32">
    <cfRule type="expression" priority="14" aboveAverage="0" equalAverage="0" bottom="0" percent="0" rank="0" text="" dxfId="19">
      <formula>L32&gt;0</formula>
    </cfRule>
    <cfRule type="expression" priority="15" aboveAverage="0" equalAverage="0" bottom="0" percent="0" rank="0" text="" dxfId="20">
      <formula>L32&lt;0</formula>
    </cfRule>
  </conditionalFormatting>
  <conditionalFormatting sqref="K31">
    <cfRule type="expression" priority="16" aboveAverage="0" equalAverage="0" bottom="0" percent="0" rank="0" text="" dxfId="21">
      <formula>L31&gt;0</formula>
    </cfRule>
    <cfRule type="expression" priority="17" aboveAverage="0" equalAverage="0" bottom="0" percent="0" rank="0" text="" dxfId="22">
      <formula>L31&lt;0</formula>
    </cfRule>
  </conditionalFormatting>
  <conditionalFormatting sqref="K30">
    <cfRule type="expression" priority="18" aboveAverage="0" equalAverage="0" bottom="0" percent="0" rank="0" text="" dxfId="23">
      <formula>L30&gt;0</formula>
    </cfRule>
    <cfRule type="expression" priority="19" aboveAverage="0" equalAverage="0" bottom="0" percent="0" rank="0" text="" dxfId="24">
      <formula>L30&lt;0</formula>
    </cfRule>
  </conditionalFormatting>
  <conditionalFormatting sqref="K29">
    <cfRule type="expression" priority="20" aboveAverage="0" equalAverage="0" bottom="0" percent="0" rank="0" text="" dxfId="25">
      <formula>L29&gt;0</formula>
    </cfRule>
    <cfRule type="expression" priority="21" aboveAverage="0" equalAverage="0" bottom="0" percent="0" rank="0" text="" dxfId="26">
      <formula>L29&lt;0</formula>
    </cfRule>
  </conditionalFormatting>
  <conditionalFormatting sqref="K28">
    <cfRule type="expression" priority="22" aboveAverage="0" equalAverage="0" bottom="0" percent="0" rank="0" text="" dxfId="27">
      <formula>L28&gt;0</formula>
    </cfRule>
    <cfRule type="expression" priority="23" aboveAverage="0" equalAverage="0" bottom="0" percent="0" rank="0" text="" dxfId="28">
      <formula>L28&lt;0</formula>
    </cfRule>
  </conditionalFormatting>
  <conditionalFormatting sqref="K27">
    <cfRule type="expression" priority="24" aboveAverage="0" equalAverage="0" bottom="0" percent="0" rank="0" text="" dxfId="29">
      <formula>L27&gt;0</formula>
    </cfRule>
    <cfRule type="expression" priority="25" aboveAverage="0" equalAverage="0" bottom="0" percent="0" rank="0" text="" dxfId="30">
      <formula>L27&lt;0</formula>
    </cfRule>
  </conditionalFormatting>
  <conditionalFormatting sqref="K26">
    <cfRule type="expression" priority="26" aboveAverage="0" equalAverage="0" bottom="0" percent="0" rank="0" text="" dxfId="31">
      <formula>L26&gt;0</formula>
    </cfRule>
    <cfRule type="expression" priority="27" aboveAverage="0" equalAverage="0" bottom="0" percent="0" rank="0" text="" dxfId="32">
      <formula>L26&lt;0</formula>
    </cfRule>
  </conditionalFormatting>
  <conditionalFormatting sqref="K25">
    <cfRule type="expression" priority="28" aboveAverage="0" equalAverage="0" bottom="0" percent="0" rank="0" text="" dxfId="33">
      <formula>L25&gt;0</formula>
    </cfRule>
    <cfRule type="expression" priority="29" aboveAverage="0" equalAverage="0" bottom="0" percent="0" rank="0" text="" dxfId="34">
      <formula>L25&lt;0</formula>
    </cfRule>
  </conditionalFormatting>
  <conditionalFormatting sqref="K24">
    <cfRule type="expression" priority="30" aboveAverage="0" equalAverage="0" bottom="0" percent="0" rank="0" text="" dxfId="35">
      <formula>L24&gt;0</formula>
    </cfRule>
    <cfRule type="expression" priority="31" aboveAverage="0" equalAverage="0" bottom="0" percent="0" rank="0" text="" dxfId="36">
      <formula>L24&lt;0</formula>
    </cfRule>
  </conditionalFormatting>
  <conditionalFormatting sqref="K23">
    <cfRule type="expression" priority="32" aboveAverage="0" equalAverage="0" bottom="0" percent="0" rank="0" text="" dxfId="37">
      <formula>L23&gt;0</formula>
    </cfRule>
    <cfRule type="expression" priority="33" aboveAverage="0" equalAverage="0" bottom="0" percent="0" rank="0" text="" dxfId="38">
      <formula>L23&lt;0</formula>
    </cfRule>
  </conditionalFormatting>
  <conditionalFormatting sqref="K22">
    <cfRule type="expression" priority="34" aboveAverage="0" equalAverage="0" bottom="0" percent="0" rank="0" text="" dxfId="39">
      <formula>L22&gt;0</formula>
    </cfRule>
    <cfRule type="expression" priority="35" aboveAverage="0" equalAverage="0" bottom="0" percent="0" rank="0" text="" dxfId="40">
      <formula>L22&lt;0</formula>
    </cfRule>
  </conditionalFormatting>
  <conditionalFormatting sqref="K21">
    <cfRule type="expression" priority="36" aboveAverage="0" equalAverage="0" bottom="0" percent="0" rank="0" text="" dxfId="41">
      <formula>L21&gt;0</formula>
    </cfRule>
    <cfRule type="expression" priority="37" aboveAverage="0" equalAverage="0" bottom="0" percent="0" rank="0" text="" dxfId="42">
      <formula>L21&lt;0</formula>
    </cfRule>
  </conditionalFormatting>
  <conditionalFormatting sqref="K20">
    <cfRule type="expression" priority="38" aboveAverage="0" equalAverage="0" bottom="0" percent="0" rank="0" text="" dxfId="43">
      <formula>L20&gt;0</formula>
    </cfRule>
    <cfRule type="expression" priority="39" aboveAverage="0" equalAverage="0" bottom="0" percent="0" rank="0" text="" dxfId="44">
      <formula>L20&lt;0</formula>
    </cfRule>
  </conditionalFormatting>
  <conditionalFormatting sqref="K19">
    <cfRule type="expression" priority="40" aboveAverage="0" equalAverage="0" bottom="0" percent="0" rank="0" text="" dxfId="45">
      <formula>L19&gt;0</formula>
    </cfRule>
    <cfRule type="expression" priority="41" aboveAverage="0" equalAverage="0" bottom="0" percent="0" rank="0" text="" dxfId="46">
      <formula>L19&lt;0</formula>
    </cfRule>
  </conditionalFormatting>
  <conditionalFormatting sqref="K17:K18">
    <cfRule type="expression" priority="42" aboveAverage="0" equalAverage="0" bottom="0" percent="0" rank="0" text="" dxfId="47">
      <formula>L17&gt;0</formula>
    </cfRule>
    <cfRule type="expression" priority="43" aboveAverage="0" equalAverage="0" bottom="0" percent="0" rank="0" text="" dxfId="48">
      <formula>L17&lt;0</formula>
    </cfRule>
  </conditionalFormatting>
  <conditionalFormatting sqref="K16">
    <cfRule type="expression" priority="44" aboveAverage="0" equalAverage="0" bottom="0" percent="0" rank="0" text="" dxfId="49">
      <formula>L16&gt;0</formula>
    </cfRule>
    <cfRule type="expression" priority="45" aboveAverage="0" equalAverage="0" bottom="0" percent="0" rank="0" text="" dxfId="50">
      <formula>L16&lt;0</formula>
    </cfRule>
  </conditionalFormatting>
  <conditionalFormatting sqref="K15">
    <cfRule type="expression" priority="46" aboveAverage="0" equalAverage="0" bottom="0" percent="0" rank="0" text="" dxfId="51">
      <formula>L15&gt;0</formula>
    </cfRule>
    <cfRule type="expression" priority="47" aboveAverage="0" equalAverage="0" bottom="0" percent="0" rank="0" text="" dxfId="52">
      <formula>L15&lt;0</formula>
    </cfRule>
  </conditionalFormatting>
  <conditionalFormatting sqref="K14">
    <cfRule type="expression" priority="48" aboveAverage="0" equalAverage="0" bottom="0" percent="0" rank="0" text="" dxfId="53">
      <formula>L14&gt;0</formula>
    </cfRule>
    <cfRule type="expression" priority="49" aboveAverage="0" equalAverage="0" bottom="0" percent="0" rank="0" text="" dxfId="54">
      <formula>L14&lt;0</formula>
    </cfRule>
  </conditionalFormatting>
  <conditionalFormatting sqref="K13">
    <cfRule type="expression" priority="50" aboveAverage="0" equalAverage="0" bottom="0" percent="0" rank="0" text="" dxfId="55">
      <formula>L13&gt;0</formula>
    </cfRule>
    <cfRule type="expression" priority="51" aboveAverage="0" equalAverage="0" bottom="0" percent="0" rank="0" text="" dxfId="56">
      <formula>L13&lt;0</formula>
    </cfRule>
  </conditionalFormatting>
  <conditionalFormatting sqref="K12">
    <cfRule type="expression" priority="52" aboveAverage="0" equalAverage="0" bottom="0" percent="0" rank="0" text="" dxfId="57">
      <formula>L12&gt;0</formula>
    </cfRule>
    <cfRule type="expression" priority="53" aboveAverage="0" equalAverage="0" bottom="0" percent="0" rank="0" text="" dxfId="58">
      <formula>L12&lt;0</formula>
    </cfRule>
  </conditionalFormatting>
  <conditionalFormatting sqref="K11">
    <cfRule type="expression" priority="54" aboveAverage="0" equalAverage="0" bottom="0" percent="0" rank="0" text="" dxfId="59">
      <formula>L11&gt;0</formula>
    </cfRule>
    <cfRule type="expression" priority="55" aboveAverage="0" equalAverage="0" bottom="0" percent="0" rank="0" text="" dxfId="60">
      <formula>L11&lt;0</formula>
    </cfRule>
  </conditionalFormatting>
  <conditionalFormatting sqref="K10">
    <cfRule type="expression" priority="56" aboveAverage="0" equalAverage="0" bottom="0" percent="0" rank="0" text="" dxfId="61">
      <formula>L10&gt;0</formula>
    </cfRule>
    <cfRule type="expression" priority="57" aboveAverage="0" equalAverage="0" bottom="0" percent="0" rank="0" text="" dxfId="62">
      <formula>L10&lt;0</formula>
    </cfRule>
  </conditionalFormatting>
  <conditionalFormatting sqref="K9">
    <cfRule type="expression" priority="58" aboveAverage="0" equalAverage="0" bottom="0" percent="0" rank="0" text="" dxfId="63">
      <formula>L9&gt;0</formula>
    </cfRule>
    <cfRule type="expression" priority="59" aboveAverage="0" equalAverage="0" bottom="0" percent="0" rank="0" text="" dxfId="64">
      <formula>L9&lt;0</formula>
    </cfRule>
  </conditionalFormatting>
  <conditionalFormatting sqref="K8">
    <cfRule type="expression" priority="60" aboveAverage="0" equalAverage="0" bottom="0" percent="0" rank="0" text="" dxfId="65">
      <formula>L8&gt;0</formula>
    </cfRule>
    <cfRule type="expression" priority="61" aboveAverage="0" equalAverage="0" bottom="0" percent="0" rank="0" text="" dxfId="66">
      <formula>L8&lt;0</formula>
    </cfRule>
  </conditionalFormatting>
  <conditionalFormatting sqref="K7">
    <cfRule type="expression" priority="62" aboveAverage="0" equalAverage="0" bottom="0" percent="0" rank="0" text="" dxfId="67">
      <formula>L7&gt;0</formula>
    </cfRule>
    <cfRule type="expression" priority="63" aboveAverage="0" equalAverage="0" bottom="0" percent="0" rank="0" text="" dxfId="68">
      <formula>L7&lt;0</formula>
    </cfRule>
  </conditionalFormatting>
  <conditionalFormatting sqref="K6">
    <cfRule type="expression" priority="64" aboveAverage="0" equalAverage="0" bottom="0" percent="0" rank="0" text="" dxfId="69">
      <formula>L6&gt;0</formula>
    </cfRule>
    <cfRule type="expression" priority="65" aboveAverage="0" equalAverage="0" bottom="0" percent="0" rank="0" text="" dxfId="70">
      <formula>L6&lt;0</formula>
    </cfRule>
  </conditionalFormatting>
  <conditionalFormatting sqref="K5">
    <cfRule type="expression" priority="66" aboveAverage="0" equalAverage="0" bottom="0" percent="0" rank="0" text="" dxfId="71">
      <formula>L5&gt;0</formula>
    </cfRule>
    <cfRule type="expression" priority="67" aboveAverage="0" equalAverage="0" bottom="0" percent="0" rank="0" text="" dxfId="72">
      <formula>L5&lt;0</formula>
    </cfRule>
  </conditionalFormatting>
  <conditionalFormatting sqref="K39">
    <cfRule type="expression" priority="68" aboveAverage="0" equalAverage="0" bottom="0" percent="0" rank="0" text="" dxfId="73">
      <formula>L44&lt;0</formula>
    </cfRule>
    <cfRule type="expression" priority="69" aboveAverage="0" equalAverage="0" bottom="0" percent="0" rank="0" text="" dxfId="74">
      <formula>L44&gt;0</formula>
    </cfRule>
  </conditionalFormatting>
  <conditionalFormatting sqref="K38">
    <cfRule type="expression" priority="70" aboveAverage="0" equalAverage="0" bottom="0" percent="0" rank="0" text="" dxfId="75">
      <formula>L43&lt;0</formula>
    </cfRule>
    <cfRule type="expression" priority="71" aboveAverage="0" equalAverage="0" bottom="0" percent="0" rank="0" text="" dxfId="76">
      <formula>L43&gt;0</formula>
    </cfRule>
  </conditionalFormatting>
  <conditionalFormatting sqref="L30">
    <cfRule type="cellIs" priority="72" operator="lessThan" aboveAverage="0" equalAverage="0" bottom="0" percent="0" rank="0" text="" dxfId="77">
      <formula>0</formula>
    </cfRule>
    <cfRule type="cellIs" priority="73" operator="greaterThan" aboveAverage="0" equalAverage="0" bottom="0" percent="0" rank="0" text="" dxfId="78">
      <formula>0</formula>
    </cfRule>
  </conditionalFormatting>
  <conditionalFormatting sqref="L29">
    <cfRule type="cellIs" priority="74" operator="lessThan" aboveAverage="0" equalAverage="0" bottom="0" percent="0" rank="0" text="" dxfId="79">
      <formula>0</formula>
    </cfRule>
    <cfRule type="cellIs" priority="75" operator="greaterThan" aboveAverage="0" equalAverage="0" bottom="0" percent="0" rank="0" text="" dxfId="80">
      <formula>0</formula>
    </cfRule>
  </conditionalFormatting>
  <conditionalFormatting sqref="L28">
    <cfRule type="cellIs" priority="76" operator="lessThan" aboveAverage="0" equalAverage="0" bottom="0" percent="0" rank="0" text="" dxfId="81">
      <formula>0</formula>
    </cfRule>
    <cfRule type="cellIs" priority="77" operator="greaterThan" aboveAverage="0" equalAverage="0" bottom="0" percent="0" rank="0" text="" dxfId="82">
      <formula>0</formula>
    </cfRule>
  </conditionalFormatting>
  <conditionalFormatting sqref="L27">
    <cfRule type="cellIs" priority="78" operator="lessThan" aboveAverage="0" equalAverage="0" bottom="0" percent="0" rank="0" text="" dxfId="83">
      <formula>0</formula>
    </cfRule>
    <cfRule type="cellIs" priority="79" operator="greaterThan" aboveAverage="0" equalAverage="0" bottom="0" percent="0" rank="0" text="" dxfId="84">
      <formula>0</formula>
    </cfRule>
  </conditionalFormatting>
  <conditionalFormatting sqref="L26">
    <cfRule type="cellIs" priority="80" operator="lessThan" aboveAverage="0" equalAverage="0" bottom="0" percent="0" rank="0" text="" dxfId="85">
      <formula>0</formula>
    </cfRule>
    <cfRule type="cellIs" priority="81" operator="greaterThan" aboveAverage="0" equalAverage="0" bottom="0" percent="0" rank="0" text="" dxfId="86">
      <formula>0</formula>
    </cfRule>
  </conditionalFormatting>
  <conditionalFormatting sqref="L25">
    <cfRule type="cellIs" priority="82" operator="lessThan" aboveAverage="0" equalAverage="0" bottom="0" percent="0" rank="0" text="" dxfId="87">
      <formula>0</formula>
    </cfRule>
    <cfRule type="cellIs" priority="83" operator="greaterThan" aboveAverage="0" equalAverage="0" bottom="0" percent="0" rank="0" text="" dxfId="88">
      <formula>0</formula>
    </cfRule>
  </conditionalFormatting>
  <conditionalFormatting sqref="L6:L39 L41:L44">
    <cfRule type="cellIs" priority="84" operator="greaterThan" aboveAverage="0" equalAverage="0" bottom="0" percent="0" rank="0" text="" dxfId="89">
      <formula>0</formula>
    </cfRule>
    <cfRule type="cellIs" priority="85" operator="lessThan" aboveAverage="0" equalAverage="0" bottom="0" percent="0" rank="0" text="" dxfId="90">
      <formula>0</formula>
    </cfRule>
  </conditionalFormatting>
  <conditionalFormatting sqref="L44">
    <cfRule type="cellIs" priority="86" operator="greaterThan" aboveAverage="0" equalAverage="0" bottom="0" percent="0" rank="0" text="" dxfId="91">
      <formula>0</formula>
    </cfRule>
    <cfRule type="expression" priority="87" aboveAverage="0" equalAverage="0" bottom="0" percent="0" rank="0" text="" dxfId="92">
      <formula>$L$5:$L$43&lt;0</formula>
    </cfRule>
  </conditionalFormatting>
  <conditionalFormatting sqref="K42">
    <cfRule type="expression" priority="88" aboveAverage="0" equalAverage="0" bottom="0" percent="0" rank="0" text="" dxfId="93">
      <formula>#ref!&lt;0</formula>
    </cfRule>
    <cfRule type="expression" priority="89" aboveAverage="0" equalAverage="0" bottom="0" percent="0" rank="0" text="" dxfId="94">
      <formula>#ref!&gt;0</formula>
    </cfRule>
  </conditionalFormatting>
  <conditionalFormatting sqref="L24">
    <cfRule type="cellIs" priority="90" operator="lessThan" aboveAverage="0" equalAverage="0" bottom="0" percent="0" rank="0" text="" dxfId="95">
      <formula>0</formula>
    </cfRule>
    <cfRule type="cellIs" priority="91" operator="greaterThan" aboveAverage="0" equalAverage="0" bottom="0" percent="0" rank="0" text="" dxfId="96">
      <formula>0</formula>
    </cfRule>
  </conditionalFormatting>
  <conditionalFormatting sqref="L23">
    <cfRule type="cellIs" priority="92" operator="lessThan" aboveAverage="0" equalAverage="0" bottom="0" percent="0" rank="0" text="" dxfId="97">
      <formula>0</formula>
    </cfRule>
    <cfRule type="cellIs" priority="93" operator="greaterThan" aboveAverage="0" equalAverage="0" bottom="0" percent="0" rank="0" text="" dxfId="98">
      <formula>0</formula>
    </cfRule>
  </conditionalFormatting>
  <conditionalFormatting sqref="L22">
    <cfRule type="cellIs" priority="94" operator="lessThan" aboveAverage="0" equalAverage="0" bottom="0" percent="0" rank="0" text="" dxfId="99">
      <formula>0</formula>
    </cfRule>
    <cfRule type="cellIs" priority="95" operator="greaterThan" aboveAverage="0" equalAverage="0" bottom="0" percent="0" rank="0" text="" dxfId="100">
      <formula>0</formula>
    </cfRule>
  </conditionalFormatting>
  <conditionalFormatting sqref="L21">
    <cfRule type="cellIs" priority="96" operator="lessThan" aboveAverage="0" equalAverage="0" bottom="0" percent="0" rank="0" text="" dxfId="101">
      <formula>0</formula>
    </cfRule>
    <cfRule type="cellIs" priority="97" operator="greaterThan" aboveAverage="0" equalAverage="0" bottom="0" percent="0" rank="0" text="" dxfId="102">
      <formula>0</formula>
    </cfRule>
  </conditionalFormatting>
  <conditionalFormatting sqref="L20">
    <cfRule type="cellIs" priority="98" operator="lessThan" aboveAverage="0" equalAverage="0" bottom="0" percent="0" rank="0" text="" dxfId="103">
      <formula>0</formula>
    </cfRule>
    <cfRule type="cellIs" priority="99" operator="greaterThan" aboveAverage="0" equalAverage="0" bottom="0" percent="0" rank="0" text="" dxfId="104">
      <formula>0</formula>
    </cfRule>
  </conditionalFormatting>
  <conditionalFormatting sqref="L13">
    <cfRule type="cellIs" priority="100" operator="lessThan" aboveAverage="0" equalAverage="0" bottom="0" percent="0" rank="0" text="" dxfId="105">
      <formula>0</formula>
    </cfRule>
    <cfRule type="cellIs" priority="101" operator="greaterThan" aboveAverage="0" equalAverage="0" bottom="0" percent="0" rank="0" text="" dxfId="106">
      <formula>0</formula>
    </cfRule>
  </conditionalFormatting>
  <conditionalFormatting sqref="L12">
    <cfRule type="cellIs" priority="102" operator="lessThan" aboveAverage="0" equalAverage="0" bottom="0" percent="0" rank="0" text="" dxfId="107">
      <formula>0</formula>
    </cfRule>
    <cfRule type="cellIs" priority="103" operator="greaterThan" aboveAverage="0" equalAverage="0" bottom="0" percent="0" rank="0" text="" dxfId="108">
      <formula>0</formula>
    </cfRule>
  </conditionalFormatting>
  <conditionalFormatting sqref="L11">
    <cfRule type="cellIs" priority="104" operator="lessThan" aboveAverage="0" equalAverage="0" bottom="0" percent="0" rank="0" text="" dxfId="109">
      <formula>0</formula>
    </cfRule>
    <cfRule type="cellIs" priority="105" operator="greaterThan" aboveAverage="0" equalAverage="0" bottom="0" percent="0" rank="0" text="" dxfId="110">
      <formula>0</formula>
    </cfRule>
  </conditionalFormatting>
  <conditionalFormatting sqref="L10">
    <cfRule type="cellIs" priority="106" operator="lessThan" aboveAverage="0" equalAverage="0" bottom="0" percent="0" rank="0" text="" dxfId="111">
      <formula>0</formula>
    </cfRule>
    <cfRule type="cellIs" priority="107" operator="greaterThan" aboveAverage="0" equalAverage="0" bottom="0" percent="0" rank="0" text="" dxfId="112">
      <formula>0</formula>
    </cfRule>
  </conditionalFormatting>
  <conditionalFormatting sqref="L9">
    <cfRule type="cellIs" priority="108" operator="lessThan" aboveAverage="0" equalAverage="0" bottom="0" percent="0" rank="0" text="" dxfId="113">
      <formula>0</formula>
    </cfRule>
    <cfRule type="cellIs" priority="109" operator="greaterThan" aboveAverage="0" equalAverage="0" bottom="0" percent="0" rank="0" text="" dxfId="114">
      <formula>0</formula>
    </cfRule>
  </conditionalFormatting>
  <conditionalFormatting sqref="L8">
    <cfRule type="cellIs" priority="110" operator="lessThan" aboveAverage="0" equalAverage="0" bottom="0" percent="0" rank="0" text="" dxfId="115">
      <formula>0</formula>
    </cfRule>
    <cfRule type="cellIs" priority="111" operator="greaterThan" aboveAverage="0" equalAverage="0" bottom="0" percent="0" rank="0" text="" dxfId="116">
      <formula>0</formula>
    </cfRule>
  </conditionalFormatting>
  <conditionalFormatting sqref="L7">
    <cfRule type="cellIs" priority="112" operator="lessThan" aboveAverage="0" equalAverage="0" bottom="0" percent="0" rank="0" text="" dxfId="117">
      <formula>0</formula>
    </cfRule>
    <cfRule type="cellIs" priority="113" operator="greaterThan" aboveAverage="0" equalAverage="0" bottom="0" percent="0" rank="0" text="" dxfId="118">
      <formula>0</formula>
    </cfRule>
  </conditionalFormatting>
  <conditionalFormatting sqref="L6">
    <cfRule type="cellIs" priority="114" operator="lessThan" aboveAverage="0" equalAverage="0" bottom="0" percent="0" rank="0" text="" dxfId="119">
      <formula>0</formula>
    </cfRule>
    <cfRule type="cellIs" priority="115" operator="greaterThan" aboveAverage="0" equalAverage="0" bottom="0" percent="0" rank="0" text="" dxfId="120">
      <formula>0</formula>
    </cfRule>
  </conditionalFormatting>
  <conditionalFormatting sqref="L5">
    <cfRule type="cellIs" priority="116" operator="lessThan" aboveAverage="0" equalAverage="0" bottom="0" percent="0" rank="0" text="" dxfId="121">
      <formula>0</formula>
    </cfRule>
    <cfRule type="cellIs" priority="117" operator="greaterThan" aboveAverage="0" equalAverage="0" bottom="0" percent="0" rank="0" text="" dxfId="122">
      <formula>0</formula>
    </cfRule>
  </conditionalFormatting>
  <conditionalFormatting sqref="L5:L24">
    <cfRule type="cellIs" priority="118" operator="greaterThan" aboveAverage="0" equalAverage="0" bottom="0" percent="0" rank="0" text="" dxfId="123">
      <formula>0</formula>
    </cfRule>
    <cfRule type="cellIs" priority="119" operator="lessThan" aboveAverage="0" equalAverage="0" bottom="0" percent="0" rank="0" text="" dxfId="124">
      <formula>0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0485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K6" activeCellId="0" sqref="K6"/>
    </sheetView>
  </sheetViews>
  <sheetFormatPr defaultColWidth="11.4453125" defaultRowHeight="13.8" zeroHeight="false" outlineLevelRow="0" outlineLevelCol="0"/>
  <cols>
    <col collapsed="false" customWidth="true" hidden="false" outlineLevel="0" max="1" min="1" style="1" width="13.88"/>
    <col collapsed="false" customWidth="false" hidden="false" outlineLevel="0" max="3" min="2" style="1" width="11.44"/>
    <col collapsed="false" customWidth="true" hidden="false" outlineLevel="0" max="4" min="4" style="1" width="25.88"/>
    <col collapsed="false" customWidth="true" hidden="false" outlineLevel="0" max="5" min="5" style="1" width="12.88"/>
    <col collapsed="false" customWidth="true" hidden="false" outlineLevel="0" max="6" min="6" style="1" width="8.88"/>
    <col collapsed="false" customWidth="false" hidden="false" outlineLevel="0" max="7" min="7" style="1" width="11.44"/>
    <col collapsed="false" customWidth="true" hidden="false" outlineLevel="0" max="8" min="8" style="1" width="15.56"/>
    <col collapsed="false" customWidth="false" hidden="false" outlineLevel="0" max="10" min="9" style="1" width="11.44"/>
    <col collapsed="false" customWidth="true" hidden="false" outlineLevel="0" max="11" min="11" style="1" width="25.67"/>
    <col collapsed="false" customWidth="true" hidden="false" outlineLevel="0" max="12" min="12" style="1" width="11.56"/>
    <col collapsed="false" customWidth="false" hidden="false" outlineLevel="0" max="13" min="13" style="1" width="11.44"/>
    <col collapsed="false" customWidth="true" hidden="false" outlineLevel="0" max="14" min="14" style="1" width="25.56"/>
    <col collapsed="false" customWidth="false" hidden="false" outlineLevel="0" max="16384" min="15" style="1" width="11.44"/>
  </cols>
  <sheetData>
    <row r="1" customFormat="false" ht="14.25" hidden="false" customHeight="false" outlineLevel="0" collapsed="false">
      <c r="A1" s="2" t="s">
        <v>0</v>
      </c>
      <c r="B1" s="3" t="n">
        <f aca="false">'01'!B2</f>
        <v>1653.21</v>
      </c>
      <c r="D1" s="4" t="s">
        <v>1</v>
      </c>
      <c r="E1" s="3" t="n">
        <f aca="false">SUM(C5:C44)+SUM(B5:B44)-SUMIF(Tableau3222[Raison],"Salaire",Tableau3222[Crédit])</f>
        <v>-1017.95</v>
      </c>
      <c r="F1" s="5"/>
      <c r="G1" s="6"/>
      <c r="H1" s="4" t="s">
        <v>43</v>
      </c>
      <c r="I1" s="3" t="n">
        <f aca="false">SUMIF(Tableau3222[Raison],"Salaire",Tableau3222[Crédit])</f>
        <v>2543.36</v>
      </c>
    </row>
    <row r="2" customFormat="false" ht="15" hidden="false" customHeight="false" outlineLevel="0" collapsed="false">
      <c r="A2" s="2" t="s">
        <v>3</v>
      </c>
      <c r="B2" s="3"/>
      <c r="D2" s="4" t="s">
        <v>4</v>
      </c>
      <c r="E2" s="3" t="n">
        <f aca="false">I1+E1</f>
        <v>1525.41</v>
      </c>
      <c r="F2" s="7"/>
      <c r="G2" s="8" t="n">
        <f aca="false">(100/I1)*E2/100</f>
        <v>0.599761732511324</v>
      </c>
    </row>
    <row r="3" customFormat="false" ht="14.25" hidden="false" customHeight="false" outlineLevel="0" collapsed="false">
      <c r="F3" s="9"/>
    </row>
    <row r="4" customFormat="false" ht="13.8" hidden="false" customHeight="false" outlineLevel="0" collapsed="false">
      <c r="A4" s="10" t="s">
        <v>5</v>
      </c>
      <c r="B4" s="11" t="s">
        <v>6</v>
      </c>
      <c r="C4" s="12" t="s">
        <v>7</v>
      </c>
      <c r="D4" s="13" t="s">
        <v>8</v>
      </c>
      <c r="E4" s="14" t="s">
        <v>9</v>
      </c>
      <c r="F4" s="15" t="s">
        <v>10</v>
      </c>
      <c r="K4" s="16" t="s">
        <v>11</v>
      </c>
      <c r="L4" s="17" t="s">
        <v>12</v>
      </c>
    </row>
    <row r="5" customFormat="false" ht="13.8" hidden="false" customHeight="false" outlineLevel="0" collapsed="false">
      <c r="A5" s="28" t="n">
        <v>45323</v>
      </c>
      <c r="B5" s="19"/>
      <c r="C5" s="20" t="n">
        <v>-1400</v>
      </c>
      <c r="D5" s="21" t="s">
        <v>13</v>
      </c>
      <c r="E5" s="22" t="n">
        <f aca="false">IF(F5="X",B1+C5+B5,"")</f>
        <v>253.21</v>
      </c>
      <c r="F5" s="27" t="s">
        <v>14</v>
      </c>
      <c r="K5" s="24" t="s">
        <v>15</v>
      </c>
      <c r="L5" s="25" t="n">
        <f aca="false">IF(K5&lt;&gt;"",SUMIF($D$5:$D$55,K5,$C$5:$C$55)+SUMIF($D$5:$D$55,K5,$B$5:$B$55))</f>
        <v>567.85</v>
      </c>
    </row>
    <row r="6" customFormat="false" ht="13.8" hidden="false" customHeight="false" outlineLevel="0" collapsed="false">
      <c r="A6" s="28" t="n">
        <v>45323</v>
      </c>
      <c r="B6" s="19"/>
      <c r="C6" s="20" t="n">
        <v>-80</v>
      </c>
      <c r="D6" s="21" t="s">
        <v>18</v>
      </c>
      <c r="E6" s="22" t="n">
        <f aca="false">IF(F6="X",E5+C6+B6,"")</f>
        <v>173.21</v>
      </c>
      <c r="F6" s="23" t="s">
        <v>14</v>
      </c>
      <c r="K6" s="26"/>
      <c r="L6" s="25" t="str">
        <f aca="false">IF(K6&lt;&gt;"",SUMIF($D$5:$D$55,K6,$C$5:$C$55)+SUMIF($D$5:$D$55,K6,$B$5:$B$55),"")</f>
        <v/>
      </c>
    </row>
    <row r="7" customFormat="false" ht="13.8" hidden="false" customHeight="false" outlineLevel="0" collapsed="false">
      <c r="A7" s="28" t="n">
        <v>45323</v>
      </c>
      <c r="B7" s="19"/>
      <c r="C7" s="20" t="n">
        <v>-105.8</v>
      </c>
      <c r="D7" s="21" t="s">
        <v>16</v>
      </c>
      <c r="E7" s="22" t="n">
        <f aca="false">IF(F7="X",E6+C7+B7,"")</f>
        <v>67.4099999999998</v>
      </c>
      <c r="F7" s="23" t="s">
        <v>14</v>
      </c>
      <c r="K7" s="26"/>
      <c r="L7" s="25" t="str">
        <f aca="false">IF(K7&lt;&gt;"",SUMIF($D$5:$D$55,K7,$C$5:$C$55)+SUMIF($D$5:$D$55,K7,$B$5:$B$55),"")</f>
        <v/>
      </c>
    </row>
    <row r="8" customFormat="false" ht="13.8" hidden="false" customHeight="false" outlineLevel="0" collapsed="false">
      <c r="A8" s="28" t="n">
        <v>45323</v>
      </c>
      <c r="B8" s="30" t="n">
        <v>567.85</v>
      </c>
      <c r="C8" s="31"/>
      <c r="D8" s="21" t="s">
        <v>15</v>
      </c>
      <c r="E8" s="22" t="n">
        <f aca="false">IF(F8="X",E7+C8+B8,"")</f>
        <v>635.26</v>
      </c>
      <c r="F8" s="23" t="s">
        <v>14</v>
      </c>
      <c r="K8" s="26"/>
      <c r="L8" s="25" t="str">
        <f aca="false">IF(K8&lt;&gt;"",SUMIF($D$5:$D$55,K8,$C$5:$C$55)+SUMIF($D$5:$D$55,K8,$B$5:$B$55),"")</f>
        <v/>
      </c>
    </row>
    <row r="9" customFormat="false" ht="13.8" hidden="false" customHeight="false" outlineLevel="0" collapsed="false">
      <c r="A9" s="28" t="n">
        <v>45323</v>
      </c>
      <c r="B9" s="19" t="n">
        <v>2543.36</v>
      </c>
      <c r="C9" s="20"/>
      <c r="D9" s="21" t="s">
        <v>21</v>
      </c>
      <c r="E9" s="22" t="n">
        <f aca="false">IF(F9="X",E8+C9+B9,"")</f>
        <v>3178.62</v>
      </c>
      <c r="F9" s="23" t="s">
        <v>14</v>
      </c>
      <c r="K9" s="26"/>
      <c r="L9" s="25" t="str">
        <f aca="false">IF(K9&lt;&gt;"",SUMIF($D$5:$D$55,K9,$C$5:$C$55)+SUMIF($D$5:$D$55,K9,$B$5:$B$55),"")</f>
        <v/>
      </c>
    </row>
    <row r="10" customFormat="false" ht="13.8" hidden="false" customHeight="false" outlineLevel="0" collapsed="false">
      <c r="A10" s="28"/>
      <c r="B10" s="19"/>
      <c r="C10" s="20"/>
      <c r="D10" s="21"/>
      <c r="E10" s="22" t="str">
        <f aca="false">IF(F10="X",E9+C10+B10,"")</f>
        <v/>
      </c>
      <c r="F10" s="23"/>
      <c r="K10" s="26"/>
      <c r="L10" s="25" t="str">
        <f aca="false">IF(K10&lt;&gt;"",SUMIF($D$5:$D$55,K10,$C$5:$C$55)+SUMIF($D$5:$D$55,K10,$B$5:$B$55),"")</f>
        <v/>
      </c>
    </row>
    <row r="11" customFormat="false" ht="13.8" hidden="false" customHeight="false" outlineLevel="0" collapsed="false">
      <c r="A11" s="28"/>
      <c r="B11" s="19"/>
      <c r="C11" s="20"/>
      <c r="D11" s="21"/>
      <c r="E11" s="22" t="str">
        <f aca="false">IF(F11="X",E10+C11+B11,"")</f>
        <v/>
      </c>
      <c r="F11" s="23"/>
      <c r="K11" s="26"/>
      <c r="L11" s="25" t="str">
        <f aca="false">IF(K11&lt;&gt;"",SUMIF($D$5:$D$55,K11,$C$5:$C$55)+SUMIF($D$5:$D$55,K11,$B$5:$B$55),"")</f>
        <v/>
      </c>
    </row>
    <row r="12" customFormat="false" ht="13.8" hidden="false" customHeight="false" outlineLevel="0" collapsed="false">
      <c r="A12" s="28"/>
      <c r="B12" s="19"/>
      <c r="C12" s="20"/>
      <c r="D12" s="21"/>
      <c r="E12" s="22" t="str">
        <f aca="false">IF(F12="X",E11+C12+B12,"")</f>
        <v/>
      </c>
      <c r="F12" s="37"/>
      <c r="K12" s="26"/>
      <c r="L12" s="25" t="str">
        <f aca="false">IF(K12&lt;&gt;"",SUMIF($D$5:$D$55,K12,$C$5:$C$55)+SUMIF($D$5:$D$55,K12,$B$5:$B$55),"")</f>
        <v/>
      </c>
    </row>
    <row r="13" customFormat="false" ht="13.8" hidden="false" customHeight="false" outlineLevel="0" collapsed="false">
      <c r="A13" s="28"/>
      <c r="B13" s="19"/>
      <c r="C13" s="20"/>
      <c r="D13" s="21"/>
      <c r="E13" s="22" t="str">
        <f aca="false">IF(F13="X",E12+C13+B13,"")</f>
        <v/>
      </c>
      <c r="F13" s="23"/>
      <c r="H13" s="38"/>
      <c r="K13" s="26"/>
      <c r="L13" s="25" t="str">
        <f aca="false">IF(K13&lt;&gt;"",SUMIF($D$5:$D$55,K13,$C$5:$C$55)+SUMIF($D$5:$D$55,K13,$B$5:$B$55),"")</f>
        <v/>
      </c>
    </row>
    <row r="14" customFormat="false" ht="13.8" hidden="false" customHeight="false" outlineLevel="0" collapsed="false">
      <c r="A14" s="28"/>
      <c r="B14" s="19"/>
      <c r="C14" s="31"/>
      <c r="D14" s="21"/>
      <c r="E14" s="22" t="str">
        <f aca="false">IF(F14="X",E13+C14+B14,"")</f>
        <v/>
      </c>
      <c r="F14" s="23"/>
      <c r="K14" s="26"/>
      <c r="L14" s="25" t="str">
        <f aca="false">IF(K14&lt;&gt;"",SUMIF($D$5:$D$55,K14,$C$5:$C$55)+SUMIF($D$5:$D$55,K14,$B$5:$B$55),"")</f>
        <v/>
      </c>
    </row>
    <row r="15" customFormat="false" ht="13.8" hidden="false" customHeight="false" outlineLevel="0" collapsed="false">
      <c r="A15" s="28"/>
      <c r="B15" s="19"/>
      <c r="C15" s="20"/>
      <c r="D15" s="21"/>
      <c r="E15" s="22" t="str">
        <f aca="false">IF(F15="X",E14+C15+B15,"")</f>
        <v/>
      </c>
      <c r="F15" s="23"/>
      <c r="K15" s="26"/>
      <c r="L15" s="25" t="str">
        <f aca="false">IF(K15&lt;&gt;"",SUMIF($D$5:$D$55,K15,$C$5:$C$55)+SUMIF($D$5:$D$55,K15,$B$5:$B$55),"")</f>
        <v/>
      </c>
    </row>
    <row r="16" customFormat="false" ht="13.8" hidden="false" customHeight="false" outlineLevel="0" collapsed="false">
      <c r="A16" s="28"/>
      <c r="B16" s="19"/>
      <c r="C16" s="20"/>
      <c r="D16" s="21"/>
      <c r="E16" s="22" t="str">
        <f aca="false">IF(F16="X",E15+C16+B16,"")</f>
        <v/>
      </c>
      <c r="F16" s="23"/>
      <c r="K16" s="26"/>
      <c r="L16" s="25" t="str">
        <f aca="false">IF(K16&lt;&gt;"",SUMIF($D$5:$D$55,K16,$C$5:$C$55)+SUMIF($D$5:$D$55,K16,$B$5:$B$55),"")</f>
        <v/>
      </c>
    </row>
    <row r="17" customFormat="false" ht="13.8" hidden="false" customHeight="false" outlineLevel="0" collapsed="false">
      <c r="A17" s="28"/>
      <c r="B17" s="19"/>
      <c r="C17" s="20"/>
      <c r="D17" s="21"/>
      <c r="E17" s="22" t="str">
        <f aca="false">IF(F17="X",E16+C17+B17,"")</f>
        <v/>
      </c>
      <c r="F17" s="27"/>
      <c r="K17" s="26"/>
      <c r="L17" s="25" t="str">
        <f aca="false">IF(K17&lt;&gt;"",SUMIF($D$5:$D$55,K17,$C$5:$C$55)+SUMIF($D$5:$D$55,K17,$B$5:$B$55),"")</f>
        <v/>
      </c>
    </row>
    <row r="18" customFormat="false" ht="13.8" hidden="false" customHeight="false" outlineLevel="0" collapsed="false">
      <c r="A18" s="28"/>
      <c r="B18" s="19"/>
      <c r="C18" s="20"/>
      <c r="D18" s="21"/>
      <c r="E18" s="22" t="str">
        <f aca="false">IF(F18="X",E17+C18+B18,"")</f>
        <v/>
      </c>
      <c r="F18" s="27"/>
      <c r="K18" s="26"/>
      <c r="L18" s="25" t="str">
        <f aca="false">IF(K18&lt;&gt;"",SUMIF($D$5:$D$55,K18,$C$5:$C$55)+SUMIF($D$5:$D$55,K18,$B$5:$B$55),"")</f>
        <v/>
      </c>
    </row>
    <row r="19" customFormat="false" ht="13.8" hidden="false" customHeight="false" outlineLevel="0" collapsed="false">
      <c r="A19" s="28"/>
      <c r="B19" s="19"/>
      <c r="C19" s="20"/>
      <c r="D19" s="21"/>
      <c r="E19" s="22" t="str">
        <f aca="false">IF(F19="X",E18+C19+B19,"")</f>
        <v/>
      </c>
      <c r="F19" s="27"/>
      <c r="K19" s="26"/>
      <c r="L19" s="25" t="str">
        <f aca="false">IF(K19&lt;&gt;"",SUMIF($D$5:$D$55,K19,$C$5:$C$55)+SUMIF($D$5:$D$55,K19,$B$5:$B$55),"")</f>
        <v/>
      </c>
    </row>
    <row r="20" customFormat="false" ht="13.8" hidden="false" customHeight="false" outlineLevel="0" collapsed="false">
      <c r="A20" s="28"/>
      <c r="B20" s="19"/>
      <c r="C20" s="20"/>
      <c r="D20" s="21"/>
      <c r="E20" s="22" t="str">
        <f aca="false">IF(F20="X",E19+C20+B20,"")</f>
        <v/>
      </c>
      <c r="F20" s="23"/>
      <c r="K20" s="26"/>
      <c r="L20" s="25" t="str">
        <f aca="false">IF(K20&lt;&gt;"",SUMIF($D$5:$D$55,K20,$C$5:$C$55)+SUMIF($D$5:$D$55,K20,$B$5:$B$55),"")</f>
        <v/>
      </c>
    </row>
    <row r="21" customFormat="false" ht="13.8" hidden="false" customHeight="false" outlineLevel="0" collapsed="false">
      <c r="A21" s="28"/>
      <c r="B21" s="19"/>
      <c r="C21" s="20"/>
      <c r="D21" s="21"/>
      <c r="E21" s="22" t="str">
        <f aca="false">IF(F21="X",E20+C21+B21,"")</f>
        <v/>
      </c>
      <c r="F21" s="23"/>
      <c r="K21" s="26"/>
      <c r="L21" s="25" t="str">
        <f aca="false">IF(K21&lt;&gt;"",SUMIF($D$5:$D$55,K21,$C$5:$C$55)+SUMIF($D$5:$D$55,K21,$B$5:$B$55),"")</f>
        <v/>
      </c>
    </row>
    <row r="22" customFormat="false" ht="13.8" hidden="false" customHeight="false" outlineLevel="0" collapsed="false">
      <c r="A22" s="28"/>
      <c r="B22" s="19"/>
      <c r="C22" s="20"/>
      <c r="D22" s="21"/>
      <c r="E22" s="22" t="str">
        <f aca="false">IF(F22="X",E21+C22+B22,"")</f>
        <v/>
      </c>
      <c r="F22" s="27"/>
      <c r="K22" s="26"/>
      <c r="L22" s="25" t="str">
        <f aca="false">IF(K22&lt;&gt;"",SUMIF($D$5:$D$55,K22,$C$5:$C$55)+SUMIF($D$5:$D$55,K22,$B$5:$B$55),"")</f>
        <v/>
      </c>
    </row>
    <row r="23" customFormat="false" ht="13.8" hidden="false" customHeight="false" outlineLevel="0" collapsed="false">
      <c r="A23" s="28"/>
      <c r="B23" s="19"/>
      <c r="C23" s="20"/>
      <c r="D23" s="21"/>
      <c r="E23" s="22" t="str">
        <f aca="false">IF(F23="X",E22+C23+B23,"")</f>
        <v/>
      </c>
      <c r="F23" s="27"/>
      <c r="K23" s="26"/>
      <c r="L23" s="25" t="str">
        <f aca="false">IF(K23&lt;&gt;"",SUMIF($D$5:$D$55,K23,$C$5:$C$55)+SUMIF($D$5:$D$55,K23,$B$5:$B$55),"")</f>
        <v/>
      </c>
    </row>
    <row r="24" customFormat="false" ht="13.8" hidden="false" customHeight="false" outlineLevel="0" collapsed="false">
      <c r="A24" s="28"/>
      <c r="B24" s="19"/>
      <c r="C24" s="20"/>
      <c r="D24" s="21"/>
      <c r="E24" s="22" t="str">
        <f aca="false">IF(F24="X",E23+C24+B24,"")</f>
        <v/>
      </c>
      <c r="F24" s="27"/>
      <c r="K24" s="26"/>
      <c r="L24" s="25" t="str">
        <f aca="false">IF(K24&lt;&gt;"",SUMIF($D$5:$D$55,K24,$C$5:$C$55)+SUMIF($D$5:$D$55,K24,$B$5:$B$55),"")</f>
        <v/>
      </c>
    </row>
    <row r="25" customFormat="false" ht="13.8" hidden="false" customHeight="false" outlineLevel="0" collapsed="false">
      <c r="A25" s="28"/>
      <c r="B25" s="19"/>
      <c r="C25" s="20"/>
      <c r="D25" s="21"/>
      <c r="E25" s="22" t="str">
        <f aca="false">IF(F25="X",E24+C25+B25,"")</f>
        <v/>
      </c>
      <c r="F25" s="27"/>
      <c r="K25" s="26"/>
      <c r="L25" s="22"/>
    </row>
    <row r="26" customFormat="false" ht="13.8" hidden="false" customHeight="false" outlineLevel="0" collapsed="false">
      <c r="A26" s="28"/>
      <c r="B26" s="19"/>
      <c r="C26" s="20"/>
      <c r="D26" s="21"/>
      <c r="E26" s="22" t="str">
        <f aca="false">IF(F26="X",E25+C26+B26,"")</f>
        <v/>
      </c>
      <c r="F26" s="27"/>
      <c r="K26" s="26"/>
      <c r="L26" s="22"/>
    </row>
    <row r="27" customFormat="false" ht="13.8" hidden="false" customHeight="false" outlineLevel="0" collapsed="false">
      <c r="A27" s="28"/>
      <c r="B27" s="19"/>
      <c r="C27" s="20"/>
      <c r="D27" s="21"/>
      <c r="E27" s="22" t="str">
        <f aca="false">IF(F27="X",E26+C27+B27,"")</f>
        <v/>
      </c>
      <c r="F27" s="27"/>
      <c r="K27" s="26"/>
      <c r="L27" s="22"/>
    </row>
    <row r="28" customFormat="false" ht="13.8" hidden="false" customHeight="false" outlineLevel="0" collapsed="false">
      <c r="A28" s="28"/>
      <c r="B28" s="19"/>
      <c r="C28" s="20"/>
      <c r="D28" s="21"/>
      <c r="E28" s="22" t="str">
        <f aca="false">IF(F28="X",E27+C28+B28,"")</f>
        <v/>
      </c>
      <c r="F28" s="27"/>
      <c r="K28" s="26"/>
      <c r="L28" s="22"/>
    </row>
    <row r="29" customFormat="false" ht="13.8" hidden="false" customHeight="false" outlineLevel="0" collapsed="false">
      <c r="A29" s="28"/>
      <c r="B29" s="19"/>
      <c r="C29" s="20"/>
      <c r="D29" s="21"/>
      <c r="E29" s="22" t="str">
        <f aca="false">IF(F29="X",E28+C29+B29,"")</f>
        <v/>
      </c>
      <c r="F29" s="27"/>
      <c r="K29" s="26"/>
      <c r="L29" s="22"/>
    </row>
    <row r="30" customFormat="false" ht="13.8" hidden="false" customHeight="false" outlineLevel="0" collapsed="false">
      <c r="A30" s="28"/>
      <c r="B30" s="19"/>
      <c r="C30" s="20"/>
      <c r="D30" s="21"/>
      <c r="E30" s="22" t="str">
        <f aca="false">IF(F30="X",E29+C30+B30,"")</f>
        <v/>
      </c>
      <c r="F30" s="27"/>
      <c r="K30" s="26"/>
      <c r="L30" s="22"/>
    </row>
    <row r="31" customFormat="false" ht="13.8" hidden="false" customHeight="false" outlineLevel="0" collapsed="false">
      <c r="A31" s="28"/>
      <c r="B31" s="19"/>
      <c r="C31" s="20"/>
      <c r="D31" s="21"/>
      <c r="E31" s="22" t="str">
        <f aca="false">IF(F31="X",E30+C31+B31,"")</f>
        <v/>
      </c>
      <c r="F31" s="27"/>
      <c r="K31" s="26"/>
      <c r="L31" s="22"/>
    </row>
    <row r="32" customFormat="false" ht="13.8" hidden="false" customHeight="false" outlineLevel="0" collapsed="false">
      <c r="A32" s="28"/>
      <c r="B32" s="19"/>
      <c r="C32" s="20"/>
      <c r="D32" s="21"/>
      <c r="E32" s="22" t="str">
        <f aca="false">IF(F32="X",E31+C32+B32,"")</f>
        <v/>
      </c>
      <c r="F32" s="27"/>
      <c r="K32" s="26"/>
      <c r="L32" s="22"/>
    </row>
    <row r="33" customFormat="false" ht="13.8" hidden="false" customHeight="false" outlineLevel="0" collapsed="false">
      <c r="A33" s="28"/>
      <c r="B33" s="19"/>
      <c r="C33" s="20"/>
      <c r="D33" s="21"/>
      <c r="E33" s="22" t="str">
        <f aca="false">IF(F33="X",E32+C33+B33,"")</f>
        <v/>
      </c>
      <c r="F33" s="27"/>
      <c r="K33" s="26"/>
      <c r="L33" s="22"/>
    </row>
    <row r="34" customFormat="false" ht="13.8" hidden="false" customHeight="false" outlineLevel="0" collapsed="false">
      <c r="A34" s="28"/>
      <c r="B34" s="19"/>
      <c r="C34" s="20"/>
      <c r="D34" s="21"/>
      <c r="E34" s="22" t="str">
        <f aca="false">IF(F34="X",E33+C34+B34,"")</f>
        <v/>
      </c>
      <c r="F34" s="27"/>
      <c r="K34" s="26"/>
      <c r="L34" s="22"/>
    </row>
    <row r="35" customFormat="false" ht="13.8" hidden="false" customHeight="false" outlineLevel="0" collapsed="false">
      <c r="A35" s="28"/>
      <c r="B35" s="19"/>
      <c r="C35" s="20"/>
      <c r="D35" s="21"/>
      <c r="E35" s="22" t="str">
        <f aca="false">IF(F35="X",E34+C35+B35,"")</f>
        <v/>
      </c>
      <c r="F35" s="27"/>
      <c r="K35" s="26"/>
      <c r="L35" s="22" t="str">
        <f aca="false">IF(Tableau7323[[#This Row],[PRATIQUE]]&lt;&gt;"",SUMIF($D$5:$D$16,K35,$C$5:$C$16)+SUMIF($D$5:$D$16,K35,$B$5:$B$16),"")</f>
        <v/>
      </c>
    </row>
    <row r="36" customFormat="false" ht="13.8" hidden="false" customHeight="false" outlineLevel="0" collapsed="false">
      <c r="A36" s="28"/>
      <c r="B36" s="19"/>
      <c r="C36" s="20"/>
      <c r="D36" s="21"/>
      <c r="E36" s="22" t="str">
        <f aca="false">IF(F36="X",E35+C36+B36,"")</f>
        <v/>
      </c>
      <c r="F36" s="27"/>
      <c r="K36" s="26"/>
      <c r="L36" s="22" t="str">
        <f aca="false">IF(Tableau7323[[#This Row],[PRATIQUE]]&lt;&gt;"",SUMIF($D$5:$D$16,K36,$C$5:$C$16)+SUMIF($D$5:$D$16,K36,$B$5:$B$16),"")</f>
        <v/>
      </c>
    </row>
    <row r="37" customFormat="false" ht="13.8" hidden="false" customHeight="false" outlineLevel="0" collapsed="false">
      <c r="A37" s="28"/>
      <c r="B37" s="19"/>
      <c r="C37" s="20"/>
      <c r="D37" s="21"/>
      <c r="E37" s="22" t="str">
        <f aca="false">IF(F37="X",E36+C37+B37,"")</f>
        <v/>
      </c>
      <c r="F37" s="27"/>
      <c r="K37" s="26"/>
      <c r="L37" s="22" t="str">
        <f aca="false">IF(Tableau7323[[#This Row],[PRATIQUE]]&lt;&gt;"",SUMIF($D$5:$D$16,K37,$C$5:$C$16)+SUMIF($D$5:$D$16,K37,$B$5:$B$16),"")</f>
        <v/>
      </c>
    </row>
    <row r="38" customFormat="false" ht="13.8" hidden="false" customHeight="false" outlineLevel="0" collapsed="false">
      <c r="A38" s="28"/>
      <c r="B38" s="19"/>
      <c r="C38" s="20"/>
      <c r="D38" s="21"/>
      <c r="E38" s="22" t="str">
        <f aca="false">IF(F38="X",E37+C38+B38,"")</f>
        <v/>
      </c>
      <c r="F38" s="27"/>
      <c r="K38" s="26"/>
      <c r="L38" s="22" t="str">
        <f aca="false">IF(Tableau7323[[#This Row],[PRATIQUE]]&lt;&gt;"",SUMIF($D$5:$D$16,K38,$C$5:$C$16)+SUMIF($D$5:$D$16,K38,$B$5:$B$16),"")</f>
        <v/>
      </c>
    </row>
    <row r="39" customFormat="false" ht="13.8" hidden="false" customHeight="false" outlineLevel="0" collapsed="false">
      <c r="A39" s="28"/>
      <c r="B39" s="19"/>
      <c r="C39" s="20"/>
      <c r="D39" s="21"/>
      <c r="E39" s="22" t="str">
        <f aca="false">IF(F39="X",E38+C39+B39,"")</f>
        <v/>
      </c>
      <c r="F39" s="27"/>
      <c r="K39" s="26"/>
      <c r="L39" s="22" t="str">
        <f aca="false">IF(Tableau7323[[#This Row],[PRATIQUE]]&lt;&gt;"",SUMIF($D$5:$D$16,K39,$C$5:$C$16)+SUMIF($D$5:$D$16,K39,$B$5:$B$16),"")</f>
        <v/>
      </c>
    </row>
    <row r="40" customFormat="false" ht="13.8" hidden="false" customHeight="false" outlineLevel="0" collapsed="false">
      <c r="A40" s="28"/>
      <c r="B40" s="19"/>
      <c r="C40" s="20"/>
      <c r="D40" s="21"/>
      <c r="E40" s="22" t="str">
        <f aca="false">IF(F40="X",#REF!+C40+B40,"")</f>
        <v/>
      </c>
      <c r="F40" s="27"/>
      <c r="K40" s="32"/>
      <c r="L40" s="32"/>
    </row>
    <row r="41" customFormat="false" ht="13.8" hidden="false" customHeight="false" outlineLevel="0" collapsed="false">
      <c r="A41" s="28"/>
      <c r="B41" s="19"/>
      <c r="C41" s="20"/>
      <c r="D41" s="21"/>
      <c r="E41" s="22" t="str">
        <f aca="false">IF(F41="X",E40+C41+B41,"")</f>
        <v/>
      </c>
      <c r="F41" s="27"/>
      <c r="K41" s="33" t="s">
        <v>41</v>
      </c>
      <c r="L41" s="29" t="n">
        <f aca="false">SUMIF(D5:D48,"Orange",C5:C48)+SUMIF(D5:D48,"TEGO",C5:C48)+SUMIF(D5:D48,"Carac",C5:C48)+SUMIF(D5:D48,"UNEO",C5:C48)+SUMIF(D5:D48,"Crédit Mutuel",C5:C48)+SUMIF(D5:D48,"Darkwood",C5:C48)+SUMIF(D5:D48,"Loyer",C5:C48)+SUMIF(D5:D48,"GoWod",C5:C48)+SUMIF(D5:D48,"EPARMIL",C5:C48)+SUMIF(D5:D48,"Virement Livret Bébé",C5:C48)+SUMIF(D5:D48,"Virement A",C5:C48)</f>
        <v>-1585.8</v>
      </c>
    </row>
    <row r="42" customFormat="false" ht="13.8" hidden="false" customHeight="false" outlineLevel="0" collapsed="false">
      <c r="A42" s="28"/>
      <c r="B42" s="19"/>
      <c r="C42" s="20"/>
      <c r="D42" s="21"/>
      <c r="E42" s="22" t="str">
        <f aca="false">IF(F42="X",E41+C42+B42,"")</f>
        <v/>
      </c>
      <c r="F42" s="27"/>
      <c r="K42" s="34"/>
      <c r="L42" s="34"/>
    </row>
    <row r="43" customFormat="false" ht="13.8" hidden="false" customHeight="false" outlineLevel="0" collapsed="false">
      <c r="A43" s="39"/>
      <c r="B43" s="19"/>
      <c r="C43" s="20"/>
      <c r="D43" s="21"/>
      <c r="E43" s="22" t="str">
        <f aca="false">IF(F43="X",E42+C43+B43,"")</f>
        <v/>
      </c>
      <c r="F43" s="27"/>
      <c r="K43" s="35" t="s">
        <v>12</v>
      </c>
      <c r="L43" s="29" t="n">
        <f aca="false">SUM(L4:L40)</f>
        <v>567.85</v>
      </c>
    </row>
    <row r="44" customFormat="false" ht="13.8" hidden="false" customHeight="false" outlineLevel="0" collapsed="false">
      <c r="A44" s="39"/>
      <c r="B44" s="19"/>
      <c r="C44" s="20"/>
      <c r="D44" s="21"/>
      <c r="E44" s="22" t="str">
        <f aca="false">IF(F44="X",E43+C44+B44,"")</f>
        <v/>
      </c>
      <c r="F44" s="27"/>
      <c r="K44" s="35" t="s">
        <v>42</v>
      </c>
      <c r="L44" s="29" t="n">
        <f aca="false">I1+L43</f>
        <v>3111.21</v>
      </c>
    </row>
    <row r="45" customFormat="false" ht="13.8" hidden="false" customHeight="false" outlineLevel="0" collapsed="false">
      <c r="A45" s="34"/>
      <c r="B45" s="34"/>
      <c r="C45" s="34"/>
      <c r="D45" s="34"/>
      <c r="E45" s="34"/>
      <c r="F45" s="34"/>
    </row>
    <row r="46" customFormat="false" ht="13.8" hidden="false" customHeight="false" outlineLevel="0" collapsed="false">
      <c r="A46" s="34"/>
      <c r="B46" s="34"/>
      <c r="C46" s="34"/>
      <c r="D46" s="34"/>
      <c r="E46" s="34"/>
      <c r="F46" s="34"/>
    </row>
    <row r="47" customFormat="false" ht="13.8" hidden="false" customHeight="false" outlineLevel="0" collapsed="false">
      <c r="A47" s="34"/>
      <c r="B47" s="34"/>
      <c r="C47" s="34"/>
      <c r="D47" s="34"/>
      <c r="E47" s="34"/>
      <c r="F47" s="34"/>
    </row>
    <row r="48" customFormat="false" ht="13.8" hidden="false" customHeight="false" outlineLevel="0" collapsed="false">
      <c r="A48" s="34"/>
      <c r="B48" s="34"/>
      <c r="C48" s="34"/>
      <c r="D48" s="34"/>
      <c r="E48" s="34"/>
      <c r="F48" s="34"/>
    </row>
    <row r="57" customFormat="false" ht="13.8" hidden="false" customHeight="false" outlineLevel="0" collapsed="false">
      <c r="J57" s="36"/>
    </row>
    <row r="1048575" customFormat="false" ht="12.8" hidden="false" customHeight="false" outlineLevel="0" collapsed="false"/>
    <row r="1048576" customFormat="false" ht="12.8" hidden="false" customHeight="false" outlineLevel="0" collapsed="false"/>
  </sheetData>
  <mergeCells count="1">
    <mergeCell ref="K42:L42"/>
  </mergeCells>
  <conditionalFormatting sqref="L41:L42">
    <cfRule type="cellIs" priority="2" operator="greaterThan" aboveAverage="0" equalAverage="0" bottom="0" percent="0" rank="0" text="" dxfId="125">
      <formula>0</formula>
    </cfRule>
    <cfRule type="cellIs" priority="3" operator="lessThan" aboveAverage="0" equalAverage="0" bottom="0" percent="0" rank="0" text="" dxfId="126">
      <formula>0</formula>
    </cfRule>
  </conditionalFormatting>
  <conditionalFormatting sqref="K37">
    <cfRule type="expression" priority="4" aboveAverage="0" equalAverage="0" bottom="0" percent="0" rank="0" text="" dxfId="127">
      <formula>L37&gt;0</formula>
    </cfRule>
    <cfRule type="expression" priority="5" aboveAverage="0" equalAverage="0" bottom="0" percent="0" rank="0" text="" dxfId="128">
      <formula>L37&lt;0</formula>
    </cfRule>
  </conditionalFormatting>
  <conditionalFormatting sqref="K36">
    <cfRule type="expression" priority="6" aboveAverage="0" equalAverage="0" bottom="0" percent="0" rank="0" text="" dxfId="129">
      <formula>L36&gt;0</formula>
    </cfRule>
    <cfRule type="expression" priority="7" aboveAverage="0" equalAverage="0" bottom="0" percent="0" rank="0" text="" dxfId="130">
      <formula>L36&lt;0</formula>
    </cfRule>
  </conditionalFormatting>
  <conditionalFormatting sqref="K35">
    <cfRule type="expression" priority="8" aboveAverage="0" equalAverage="0" bottom="0" percent="0" rank="0" text="" dxfId="131">
      <formula>L35&gt;0</formula>
    </cfRule>
    <cfRule type="expression" priority="9" aboveAverage="0" equalAverage="0" bottom="0" percent="0" rank="0" text="" dxfId="132">
      <formula>L35&lt;0</formula>
    </cfRule>
  </conditionalFormatting>
  <conditionalFormatting sqref="K34">
    <cfRule type="expression" priority="10" aboveAverage="0" equalAverage="0" bottom="0" percent="0" rank="0" text="" dxfId="133">
      <formula>L34&gt;0</formula>
    </cfRule>
    <cfRule type="expression" priority="11" aboveAverage="0" equalAverage="0" bottom="0" percent="0" rank="0" text="" dxfId="134">
      <formula>L34&lt;0</formula>
    </cfRule>
  </conditionalFormatting>
  <conditionalFormatting sqref="K33">
    <cfRule type="expression" priority="12" aboveAverage="0" equalAverage="0" bottom="0" percent="0" rank="0" text="" dxfId="135">
      <formula>L33&gt;0</formula>
    </cfRule>
    <cfRule type="expression" priority="13" aboveAverage="0" equalAverage="0" bottom="0" percent="0" rank="0" text="" dxfId="136">
      <formula>L33&lt;0</formula>
    </cfRule>
  </conditionalFormatting>
  <conditionalFormatting sqref="K32">
    <cfRule type="expression" priority="14" aboveAverage="0" equalAverage="0" bottom="0" percent="0" rank="0" text="" dxfId="137">
      <formula>L32&gt;0</formula>
    </cfRule>
    <cfRule type="expression" priority="15" aboveAverage="0" equalAverage="0" bottom="0" percent="0" rank="0" text="" dxfId="138">
      <formula>L32&lt;0</formula>
    </cfRule>
  </conditionalFormatting>
  <conditionalFormatting sqref="K31">
    <cfRule type="expression" priority="16" aboveAverage="0" equalAverage="0" bottom="0" percent="0" rank="0" text="" dxfId="139">
      <formula>L31&gt;0</formula>
    </cfRule>
    <cfRule type="expression" priority="17" aboveAverage="0" equalAverage="0" bottom="0" percent="0" rank="0" text="" dxfId="140">
      <formula>L31&lt;0</formula>
    </cfRule>
  </conditionalFormatting>
  <conditionalFormatting sqref="K30">
    <cfRule type="expression" priority="18" aboveAverage="0" equalAverage="0" bottom="0" percent="0" rank="0" text="" dxfId="141">
      <formula>L30&gt;0</formula>
    </cfRule>
    <cfRule type="expression" priority="19" aboveAverage="0" equalAverage="0" bottom="0" percent="0" rank="0" text="" dxfId="142">
      <formula>L30&lt;0</formula>
    </cfRule>
  </conditionalFormatting>
  <conditionalFormatting sqref="K29">
    <cfRule type="expression" priority="20" aboveAverage="0" equalAverage="0" bottom="0" percent="0" rank="0" text="" dxfId="143">
      <formula>L29&gt;0</formula>
    </cfRule>
    <cfRule type="expression" priority="21" aboveAverage="0" equalAverage="0" bottom="0" percent="0" rank="0" text="" dxfId="144">
      <formula>L29&lt;0</formula>
    </cfRule>
  </conditionalFormatting>
  <conditionalFormatting sqref="K28">
    <cfRule type="expression" priority="22" aboveAverage="0" equalAverage="0" bottom="0" percent="0" rank="0" text="" dxfId="145">
      <formula>L28&gt;0</formula>
    </cfRule>
    <cfRule type="expression" priority="23" aboveAverage="0" equalAverage="0" bottom="0" percent="0" rank="0" text="" dxfId="146">
      <formula>L28&lt;0</formula>
    </cfRule>
  </conditionalFormatting>
  <conditionalFormatting sqref="K27">
    <cfRule type="expression" priority="24" aboveAverage="0" equalAverage="0" bottom="0" percent="0" rank="0" text="" dxfId="147">
      <formula>L27&gt;0</formula>
    </cfRule>
    <cfRule type="expression" priority="25" aboveAverage="0" equalAverage="0" bottom="0" percent="0" rank="0" text="" dxfId="148">
      <formula>L27&lt;0</formula>
    </cfRule>
  </conditionalFormatting>
  <conditionalFormatting sqref="K26">
    <cfRule type="expression" priority="26" aboveAverage="0" equalAverage="0" bottom="0" percent="0" rank="0" text="" dxfId="149">
      <formula>L26&gt;0</formula>
    </cfRule>
    <cfRule type="expression" priority="27" aboveAverage="0" equalAverage="0" bottom="0" percent="0" rank="0" text="" dxfId="150">
      <formula>L26&lt;0</formula>
    </cfRule>
  </conditionalFormatting>
  <conditionalFormatting sqref="K25">
    <cfRule type="expression" priority="28" aboveAverage="0" equalAverage="0" bottom="0" percent="0" rank="0" text="" dxfId="151">
      <formula>L25&gt;0</formula>
    </cfRule>
    <cfRule type="expression" priority="29" aboveAverage="0" equalAverage="0" bottom="0" percent="0" rank="0" text="" dxfId="152">
      <formula>L25&lt;0</formula>
    </cfRule>
  </conditionalFormatting>
  <conditionalFormatting sqref="K24">
    <cfRule type="expression" priority="30" aboveAverage="0" equalAverage="0" bottom="0" percent="0" rank="0" text="" dxfId="153">
      <formula>L24&gt;0</formula>
    </cfRule>
    <cfRule type="expression" priority="31" aboveAverage="0" equalAverage="0" bottom="0" percent="0" rank="0" text="" dxfId="154">
      <formula>L24&lt;0</formula>
    </cfRule>
  </conditionalFormatting>
  <conditionalFormatting sqref="K23">
    <cfRule type="expression" priority="32" aboveAverage="0" equalAverage="0" bottom="0" percent="0" rank="0" text="" dxfId="155">
      <formula>L23&gt;0</formula>
    </cfRule>
    <cfRule type="expression" priority="33" aboveAverage="0" equalAverage="0" bottom="0" percent="0" rank="0" text="" dxfId="156">
      <formula>L23&lt;0</formula>
    </cfRule>
  </conditionalFormatting>
  <conditionalFormatting sqref="K22">
    <cfRule type="expression" priority="34" aboveAverage="0" equalAverage="0" bottom="0" percent="0" rank="0" text="" dxfId="157">
      <formula>L22&gt;0</formula>
    </cfRule>
    <cfRule type="expression" priority="35" aboveAverage="0" equalAverage="0" bottom="0" percent="0" rank="0" text="" dxfId="158">
      <formula>L22&lt;0</formula>
    </cfRule>
  </conditionalFormatting>
  <conditionalFormatting sqref="K21">
    <cfRule type="expression" priority="36" aboveAverage="0" equalAverage="0" bottom="0" percent="0" rank="0" text="" dxfId="159">
      <formula>L21&gt;0</formula>
    </cfRule>
    <cfRule type="expression" priority="37" aboveAverage="0" equalAverage="0" bottom="0" percent="0" rank="0" text="" dxfId="160">
      <formula>L21&lt;0</formula>
    </cfRule>
  </conditionalFormatting>
  <conditionalFormatting sqref="K20">
    <cfRule type="expression" priority="38" aboveAverage="0" equalAverage="0" bottom="0" percent="0" rank="0" text="" dxfId="161">
      <formula>L20&gt;0</formula>
    </cfRule>
    <cfRule type="expression" priority="39" aboveAverage="0" equalAverage="0" bottom="0" percent="0" rank="0" text="" dxfId="162">
      <formula>L20&lt;0</formula>
    </cfRule>
  </conditionalFormatting>
  <conditionalFormatting sqref="K19">
    <cfRule type="expression" priority="40" aboveAverage="0" equalAverage="0" bottom="0" percent="0" rank="0" text="" dxfId="163">
      <formula>L19&gt;0</formula>
    </cfRule>
    <cfRule type="expression" priority="41" aboveAverage="0" equalAverage="0" bottom="0" percent="0" rank="0" text="" dxfId="164">
      <formula>L19&lt;0</formula>
    </cfRule>
  </conditionalFormatting>
  <conditionalFormatting sqref="K17:K18">
    <cfRule type="expression" priority="42" aboveAverage="0" equalAverage="0" bottom="0" percent="0" rank="0" text="" dxfId="165">
      <formula>L17&gt;0</formula>
    </cfRule>
    <cfRule type="expression" priority="43" aboveAverage="0" equalAverage="0" bottom="0" percent="0" rank="0" text="" dxfId="166">
      <formula>L17&lt;0</formula>
    </cfRule>
  </conditionalFormatting>
  <conditionalFormatting sqref="K16">
    <cfRule type="expression" priority="44" aboveAverage="0" equalAverage="0" bottom="0" percent="0" rank="0" text="" dxfId="167">
      <formula>L16&gt;0</formula>
    </cfRule>
    <cfRule type="expression" priority="45" aboveAverage="0" equalAverage="0" bottom="0" percent="0" rank="0" text="" dxfId="168">
      <formula>L16&lt;0</formula>
    </cfRule>
  </conditionalFormatting>
  <conditionalFormatting sqref="K15">
    <cfRule type="expression" priority="46" aboveAverage="0" equalAverage="0" bottom="0" percent="0" rank="0" text="" dxfId="169">
      <formula>L15&gt;0</formula>
    </cfRule>
    <cfRule type="expression" priority="47" aboveAverage="0" equalAverage="0" bottom="0" percent="0" rank="0" text="" dxfId="170">
      <formula>L15&lt;0</formula>
    </cfRule>
  </conditionalFormatting>
  <conditionalFormatting sqref="K14">
    <cfRule type="expression" priority="48" aboveAverage="0" equalAverage="0" bottom="0" percent="0" rank="0" text="" dxfId="171">
      <formula>L14&gt;0</formula>
    </cfRule>
    <cfRule type="expression" priority="49" aboveAverage="0" equalAverage="0" bottom="0" percent="0" rank="0" text="" dxfId="172">
      <formula>L14&lt;0</formula>
    </cfRule>
  </conditionalFormatting>
  <conditionalFormatting sqref="K13">
    <cfRule type="expression" priority="50" aboveAverage="0" equalAverage="0" bottom="0" percent="0" rank="0" text="" dxfId="173">
      <formula>L13&gt;0</formula>
    </cfRule>
    <cfRule type="expression" priority="51" aboveAverage="0" equalAverage="0" bottom="0" percent="0" rank="0" text="" dxfId="174">
      <formula>L13&lt;0</formula>
    </cfRule>
  </conditionalFormatting>
  <conditionalFormatting sqref="K12">
    <cfRule type="expression" priority="52" aboveAverage="0" equalAverage="0" bottom="0" percent="0" rank="0" text="" dxfId="175">
      <formula>L12&gt;0</formula>
    </cfRule>
    <cfRule type="expression" priority="53" aboveAverage="0" equalAverage="0" bottom="0" percent="0" rank="0" text="" dxfId="176">
      <formula>L12&lt;0</formula>
    </cfRule>
  </conditionalFormatting>
  <conditionalFormatting sqref="K11">
    <cfRule type="expression" priority="54" aboveAverage="0" equalAverage="0" bottom="0" percent="0" rank="0" text="" dxfId="177">
      <formula>L11&gt;0</formula>
    </cfRule>
    <cfRule type="expression" priority="55" aboveAverage="0" equalAverage="0" bottom="0" percent="0" rank="0" text="" dxfId="178">
      <formula>L11&lt;0</formula>
    </cfRule>
  </conditionalFormatting>
  <conditionalFormatting sqref="K10">
    <cfRule type="expression" priority="56" aboveAverage="0" equalAverage="0" bottom="0" percent="0" rank="0" text="" dxfId="179">
      <formula>L10&gt;0</formula>
    </cfRule>
    <cfRule type="expression" priority="57" aboveAverage="0" equalAverage="0" bottom="0" percent="0" rank="0" text="" dxfId="180">
      <formula>L10&lt;0</formula>
    </cfRule>
  </conditionalFormatting>
  <conditionalFormatting sqref="K9">
    <cfRule type="expression" priority="58" aboveAverage="0" equalAverage="0" bottom="0" percent="0" rank="0" text="" dxfId="181">
      <formula>L9&gt;0</formula>
    </cfRule>
    <cfRule type="expression" priority="59" aboveAverage="0" equalAverage="0" bottom="0" percent="0" rank="0" text="" dxfId="182">
      <formula>L9&lt;0</formula>
    </cfRule>
  </conditionalFormatting>
  <conditionalFormatting sqref="K8">
    <cfRule type="expression" priority="60" aboveAverage="0" equalAverage="0" bottom="0" percent="0" rank="0" text="" dxfId="183">
      <formula>L8&gt;0</formula>
    </cfRule>
    <cfRule type="expression" priority="61" aboveAverage="0" equalAverage="0" bottom="0" percent="0" rank="0" text="" dxfId="184">
      <formula>L8&lt;0</formula>
    </cfRule>
  </conditionalFormatting>
  <conditionalFormatting sqref="K7">
    <cfRule type="expression" priority="62" aboveAverage="0" equalAverage="0" bottom="0" percent="0" rank="0" text="" dxfId="185">
      <formula>L7&gt;0</formula>
    </cfRule>
    <cfRule type="expression" priority="63" aboveAverage="0" equalAverage="0" bottom="0" percent="0" rank="0" text="" dxfId="186">
      <formula>L7&lt;0</formula>
    </cfRule>
  </conditionalFormatting>
  <conditionalFormatting sqref="K6">
    <cfRule type="expression" priority="64" aboveAverage="0" equalAverage="0" bottom="0" percent="0" rank="0" text="" dxfId="187">
      <formula>L6&gt;0</formula>
    </cfRule>
    <cfRule type="expression" priority="65" aboveAverage="0" equalAverage="0" bottom="0" percent="0" rank="0" text="" dxfId="188">
      <formula>L6&lt;0</formula>
    </cfRule>
  </conditionalFormatting>
  <conditionalFormatting sqref="K5">
    <cfRule type="expression" priority="66" aboveAverage="0" equalAverage="0" bottom="0" percent="0" rank="0" text="" dxfId="189">
      <formula>L5&gt;0</formula>
    </cfRule>
    <cfRule type="expression" priority="67" aboveAverage="0" equalAverage="0" bottom="0" percent="0" rank="0" text="" dxfId="190">
      <formula>L5&lt;0</formula>
    </cfRule>
  </conditionalFormatting>
  <conditionalFormatting sqref="K41:K42">
    <cfRule type="expression" priority="68" aboveAverage="0" equalAverage="0" bottom="0" percent="0" rank="0" text="" dxfId="191">
      <formula>L45&lt;0</formula>
    </cfRule>
    <cfRule type="expression" priority="69" aboveAverage="0" equalAverage="0" bottom="0" percent="0" rank="0" text="" dxfId="192">
      <formula>L45&gt;0</formula>
    </cfRule>
  </conditionalFormatting>
  <conditionalFormatting sqref="K39">
    <cfRule type="expression" priority="70" aboveAverage="0" equalAverage="0" bottom="0" percent="0" rank="0" text="" dxfId="193">
      <formula>L44&lt;0</formula>
    </cfRule>
    <cfRule type="expression" priority="71" aboveAverage="0" equalAverage="0" bottom="0" percent="0" rank="0" text="" dxfId="194">
      <formula>L44&gt;0</formula>
    </cfRule>
  </conditionalFormatting>
  <conditionalFormatting sqref="K38">
    <cfRule type="expression" priority="72" aboveAverage="0" equalAverage="0" bottom="0" percent="0" rank="0" text="" dxfId="195">
      <formula>L43&lt;0</formula>
    </cfRule>
    <cfRule type="expression" priority="73" aboveAverage="0" equalAverage="0" bottom="0" percent="0" rank="0" text="" dxfId="196">
      <formula>L43&gt;0</formula>
    </cfRule>
  </conditionalFormatting>
  <conditionalFormatting sqref="L30">
    <cfRule type="cellIs" priority="74" operator="lessThan" aboveAverage="0" equalAverage="0" bottom="0" percent="0" rank="0" text="" dxfId="197">
      <formula>0</formula>
    </cfRule>
    <cfRule type="cellIs" priority="75" operator="greaterThan" aboveAverage="0" equalAverage="0" bottom="0" percent="0" rank="0" text="" dxfId="198">
      <formula>0</formula>
    </cfRule>
  </conditionalFormatting>
  <conditionalFormatting sqref="L29">
    <cfRule type="cellIs" priority="76" operator="lessThan" aboveAverage="0" equalAverage="0" bottom="0" percent="0" rank="0" text="" dxfId="199">
      <formula>0</formula>
    </cfRule>
    <cfRule type="cellIs" priority="77" operator="greaterThan" aboveAverage="0" equalAverage="0" bottom="0" percent="0" rank="0" text="" dxfId="200">
      <formula>0</formula>
    </cfRule>
  </conditionalFormatting>
  <conditionalFormatting sqref="L28">
    <cfRule type="cellIs" priority="78" operator="lessThan" aboveAverage="0" equalAverage="0" bottom="0" percent="0" rank="0" text="" dxfId="201">
      <formula>0</formula>
    </cfRule>
    <cfRule type="cellIs" priority="79" operator="greaterThan" aboveAverage="0" equalAverage="0" bottom="0" percent="0" rank="0" text="" dxfId="202">
      <formula>0</formula>
    </cfRule>
  </conditionalFormatting>
  <conditionalFormatting sqref="L27">
    <cfRule type="cellIs" priority="80" operator="lessThan" aboveAverage="0" equalAverage="0" bottom="0" percent="0" rank="0" text="" dxfId="203">
      <formula>0</formula>
    </cfRule>
    <cfRule type="cellIs" priority="81" operator="greaterThan" aboveAverage="0" equalAverage="0" bottom="0" percent="0" rank="0" text="" dxfId="204">
      <formula>0</formula>
    </cfRule>
  </conditionalFormatting>
  <conditionalFormatting sqref="L26">
    <cfRule type="cellIs" priority="82" operator="lessThan" aboveAverage="0" equalAverage="0" bottom="0" percent="0" rank="0" text="" dxfId="205">
      <formula>0</formula>
    </cfRule>
    <cfRule type="cellIs" priority="83" operator="greaterThan" aboveAverage="0" equalAverage="0" bottom="0" percent="0" rank="0" text="" dxfId="206">
      <formula>0</formula>
    </cfRule>
  </conditionalFormatting>
  <conditionalFormatting sqref="L25">
    <cfRule type="cellIs" priority="84" operator="lessThan" aboveAverage="0" equalAverage="0" bottom="0" percent="0" rank="0" text="" dxfId="207">
      <formula>0</formula>
    </cfRule>
    <cfRule type="cellIs" priority="85" operator="greaterThan" aboveAverage="0" equalAverage="0" bottom="0" percent="0" rank="0" text="" dxfId="208">
      <formula>0</formula>
    </cfRule>
  </conditionalFormatting>
  <conditionalFormatting sqref="L6:L39 L42:L44">
    <cfRule type="cellIs" priority="86" operator="greaterThan" aboveAverage="0" equalAverage="0" bottom="0" percent="0" rank="0" text="" dxfId="209">
      <formula>0</formula>
    </cfRule>
    <cfRule type="cellIs" priority="87" operator="lessThan" aboveAverage="0" equalAverage="0" bottom="0" percent="0" rank="0" text="" dxfId="210">
      <formula>0</formula>
    </cfRule>
  </conditionalFormatting>
  <conditionalFormatting sqref="L44">
    <cfRule type="cellIs" priority="88" operator="greaterThan" aboveAverage="0" equalAverage="0" bottom="0" percent="0" rank="0" text="" dxfId="211">
      <formula>0</formula>
    </cfRule>
    <cfRule type="expression" priority="89" aboveAverage="0" equalAverage="0" bottom="0" percent="0" rank="0" text="" dxfId="212">
      <formula>$L$5:$L$43&lt;0</formula>
    </cfRule>
  </conditionalFormatting>
  <conditionalFormatting sqref="L24">
    <cfRule type="cellIs" priority="90" operator="lessThan" aboveAverage="0" equalAverage="0" bottom="0" percent="0" rank="0" text="" dxfId="95">
      <formula>0</formula>
    </cfRule>
    <cfRule type="cellIs" priority="91" operator="greaterThan" aboveAverage="0" equalAverage="0" bottom="0" percent="0" rank="0" text="" dxfId="96">
      <formula>0</formula>
    </cfRule>
  </conditionalFormatting>
  <conditionalFormatting sqref="L23">
    <cfRule type="cellIs" priority="92" operator="lessThan" aboveAverage="0" equalAverage="0" bottom="0" percent="0" rank="0" text="" dxfId="97">
      <formula>0</formula>
    </cfRule>
    <cfRule type="cellIs" priority="93" operator="greaterThan" aboveAverage="0" equalAverage="0" bottom="0" percent="0" rank="0" text="" dxfId="98">
      <formula>0</formula>
    </cfRule>
  </conditionalFormatting>
  <conditionalFormatting sqref="L22">
    <cfRule type="cellIs" priority="94" operator="lessThan" aboveAverage="0" equalAverage="0" bottom="0" percent="0" rank="0" text="" dxfId="99">
      <formula>0</formula>
    </cfRule>
    <cfRule type="cellIs" priority="95" operator="greaterThan" aboveAverage="0" equalAverage="0" bottom="0" percent="0" rank="0" text="" dxfId="100">
      <formula>0</formula>
    </cfRule>
  </conditionalFormatting>
  <conditionalFormatting sqref="L21">
    <cfRule type="cellIs" priority="96" operator="lessThan" aboveAverage="0" equalAverage="0" bottom="0" percent="0" rank="0" text="" dxfId="101">
      <formula>0</formula>
    </cfRule>
    <cfRule type="cellIs" priority="97" operator="greaterThan" aboveAverage="0" equalAverage="0" bottom="0" percent="0" rank="0" text="" dxfId="102">
      <formula>0</formula>
    </cfRule>
  </conditionalFormatting>
  <conditionalFormatting sqref="L20">
    <cfRule type="cellIs" priority="98" operator="lessThan" aboveAverage="0" equalAverage="0" bottom="0" percent="0" rank="0" text="" dxfId="103">
      <formula>0</formula>
    </cfRule>
    <cfRule type="cellIs" priority="99" operator="greaterThan" aboveAverage="0" equalAverage="0" bottom="0" percent="0" rank="0" text="" dxfId="104">
      <formula>0</formula>
    </cfRule>
  </conditionalFormatting>
  <conditionalFormatting sqref="L13">
    <cfRule type="cellIs" priority="100" operator="lessThan" aboveAverage="0" equalAverage="0" bottom="0" percent="0" rank="0" text="" dxfId="105">
      <formula>0</formula>
    </cfRule>
    <cfRule type="cellIs" priority="101" operator="greaterThan" aboveAverage="0" equalAverage="0" bottom="0" percent="0" rank="0" text="" dxfId="106">
      <formula>0</formula>
    </cfRule>
  </conditionalFormatting>
  <conditionalFormatting sqref="L12">
    <cfRule type="cellIs" priority="102" operator="lessThan" aboveAverage="0" equalAverage="0" bottom="0" percent="0" rank="0" text="" dxfId="107">
      <formula>0</formula>
    </cfRule>
    <cfRule type="cellIs" priority="103" operator="greaterThan" aboveAverage="0" equalAverage="0" bottom="0" percent="0" rank="0" text="" dxfId="108">
      <formula>0</formula>
    </cfRule>
  </conditionalFormatting>
  <conditionalFormatting sqref="L11">
    <cfRule type="cellIs" priority="104" operator="lessThan" aboveAverage="0" equalAverage="0" bottom="0" percent="0" rank="0" text="" dxfId="109">
      <formula>0</formula>
    </cfRule>
    <cfRule type="cellIs" priority="105" operator="greaterThan" aboveAverage="0" equalAverage="0" bottom="0" percent="0" rank="0" text="" dxfId="110">
      <formula>0</formula>
    </cfRule>
  </conditionalFormatting>
  <conditionalFormatting sqref="L10">
    <cfRule type="cellIs" priority="106" operator="lessThan" aboveAverage="0" equalAverage="0" bottom="0" percent="0" rank="0" text="" dxfId="111">
      <formula>0</formula>
    </cfRule>
    <cfRule type="cellIs" priority="107" operator="greaterThan" aboveAverage="0" equalAverage="0" bottom="0" percent="0" rank="0" text="" dxfId="112">
      <formula>0</formula>
    </cfRule>
  </conditionalFormatting>
  <conditionalFormatting sqref="L9">
    <cfRule type="cellIs" priority="108" operator="lessThan" aboveAverage="0" equalAverage="0" bottom="0" percent="0" rank="0" text="" dxfId="113">
      <formula>0</formula>
    </cfRule>
    <cfRule type="cellIs" priority="109" operator="greaterThan" aboveAverage="0" equalAverage="0" bottom="0" percent="0" rank="0" text="" dxfId="114">
      <formula>0</formula>
    </cfRule>
  </conditionalFormatting>
  <conditionalFormatting sqref="L8">
    <cfRule type="cellIs" priority="110" operator="lessThan" aboveAverage="0" equalAverage="0" bottom="0" percent="0" rank="0" text="" dxfId="115">
      <formula>0</formula>
    </cfRule>
    <cfRule type="cellIs" priority="111" operator="greaterThan" aboveAverage="0" equalAverage="0" bottom="0" percent="0" rank="0" text="" dxfId="116">
      <formula>0</formula>
    </cfRule>
  </conditionalFormatting>
  <conditionalFormatting sqref="L7">
    <cfRule type="cellIs" priority="112" operator="lessThan" aboveAverage="0" equalAverage="0" bottom="0" percent="0" rank="0" text="" dxfId="117">
      <formula>0</formula>
    </cfRule>
    <cfRule type="cellIs" priority="113" operator="greaterThan" aboveAverage="0" equalAverage="0" bottom="0" percent="0" rank="0" text="" dxfId="118">
      <formula>0</formula>
    </cfRule>
  </conditionalFormatting>
  <conditionalFormatting sqref="L6">
    <cfRule type="cellIs" priority="114" operator="lessThan" aboveAverage="0" equalAverage="0" bottom="0" percent="0" rank="0" text="" dxfId="119">
      <formula>0</formula>
    </cfRule>
    <cfRule type="cellIs" priority="115" operator="greaterThan" aboveAverage="0" equalAverage="0" bottom="0" percent="0" rank="0" text="" dxfId="120">
      <formula>0</formula>
    </cfRule>
  </conditionalFormatting>
  <conditionalFormatting sqref="L5">
    <cfRule type="cellIs" priority="116" operator="lessThan" aboveAverage="0" equalAverage="0" bottom="0" percent="0" rank="0" text="" dxfId="121">
      <formula>0</formula>
    </cfRule>
    <cfRule type="cellIs" priority="117" operator="greaterThan" aboveAverage="0" equalAverage="0" bottom="0" percent="0" rank="0" text="" dxfId="122">
      <formula>0</formula>
    </cfRule>
  </conditionalFormatting>
  <conditionalFormatting sqref="L5:L24">
    <cfRule type="cellIs" priority="118" operator="greaterThan" aboveAverage="0" equalAverage="0" bottom="0" percent="0" rank="0" text="" dxfId="123">
      <formula>0</formula>
    </cfRule>
    <cfRule type="cellIs" priority="119" operator="lessThan" aboveAverage="0" equalAverage="0" bottom="0" percent="0" rank="0" text="" dxfId="124">
      <formula>0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0485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ColWidth="11.4453125" defaultRowHeight="13.8" zeroHeight="false" outlineLevelRow="0" outlineLevelCol="0"/>
  <cols>
    <col collapsed="false" customWidth="true" hidden="false" outlineLevel="0" max="1" min="1" style="1" width="13.88"/>
    <col collapsed="false" customWidth="false" hidden="false" outlineLevel="0" max="3" min="2" style="1" width="11.44"/>
    <col collapsed="false" customWidth="true" hidden="false" outlineLevel="0" max="4" min="4" style="1" width="25.88"/>
    <col collapsed="false" customWidth="true" hidden="false" outlineLevel="0" max="5" min="5" style="1" width="12.88"/>
    <col collapsed="false" customWidth="true" hidden="false" outlineLevel="0" max="6" min="6" style="1" width="8.88"/>
    <col collapsed="false" customWidth="false" hidden="false" outlineLevel="0" max="7" min="7" style="1" width="11.44"/>
    <col collapsed="false" customWidth="true" hidden="false" outlineLevel="0" max="8" min="8" style="1" width="15.56"/>
    <col collapsed="false" customWidth="false" hidden="false" outlineLevel="0" max="10" min="9" style="1" width="11.44"/>
    <col collapsed="false" customWidth="true" hidden="false" outlineLevel="0" max="11" min="11" style="1" width="25.67"/>
    <col collapsed="false" customWidth="true" hidden="false" outlineLevel="0" max="12" min="12" style="1" width="11.56"/>
    <col collapsed="false" customWidth="false" hidden="false" outlineLevel="0" max="13" min="13" style="1" width="11.44"/>
    <col collapsed="false" customWidth="true" hidden="false" outlineLevel="0" max="14" min="14" style="1" width="25.56"/>
    <col collapsed="false" customWidth="false" hidden="false" outlineLevel="0" max="16384" min="15" style="1" width="11.44"/>
  </cols>
  <sheetData>
    <row r="1" customFormat="false" ht="14.25" hidden="false" customHeight="false" outlineLevel="0" collapsed="false">
      <c r="A1" s="2" t="s">
        <v>0</v>
      </c>
      <c r="B1" s="3"/>
      <c r="D1" s="4" t="s">
        <v>1</v>
      </c>
      <c r="E1" s="3" t="n">
        <f aca="false">SUM(C5:C64)+SUM(B5:B64)-SUMIF(Tableau3220[Raison],"Salaire",Tableau3220[Crédit])</f>
        <v>0</v>
      </c>
      <c r="F1" s="5"/>
      <c r="G1" s="6"/>
      <c r="H1" s="4" t="s">
        <v>44</v>
      </c>
      <c r="I1" s="3" t="n">
        <f aca="false">SUMIF(Tableau3220[Raison],"Salaire",Tableau3220[Crédit])</f>
        <v>0</v>
      </c>
    </row>
    <row r="2" customFormat="false" ht="15" hidden="false" customHeight="false" outlineLevel="0" collapsed="false">
      <c r="A2" s="2" t="s">
        <v>3</v>
      </c>
      <c r="B2" s="3"/>
      <c r="D2" s="4" t="s">
        <v>4</v>
      </c>
      <c r="E2" s="3" t="n">
        <f aca="false">I1+E1</f>
        <v>0</v>
      </c>
      <c r="F2" s="7"/>
      <c r="G2" s="8" t="e">
        <f aca="false">(100/I1)*E2/100</f>
        <v>#DIV/0!</v>
      </c>
    </row>
    <row r="3" customFormat="false" ht="14.25" hidden="false" customHeight="false" outlineLevel="0" collapsed="false">
      <c r="F3" s="9"/>
    </row>
    <row r="4" customFormat="false" ht="13.8" hidden="false" customHeight="false" outlineLevel="0" collapsed="false">
      <c r="A4" s="10" t="s">
        <v>5</v>
      </c>
      <c r="B4" s="11" t="s">
        <v>6</v>
      </c>
      <c r="C4" s="12" t="s">
        <v>7</v>
      </c>
      <c r="D4" s="13" t="s">
        <v>8</v>
      </c>
      <c r="E4" s="14" t="s">
        <v>9</v>
      </c>
      <c r="F4" s="15" t="s">
        <v>10</v>
      </c>
      <c r="K4" s="16" t="s">
        <v>11</v>
      </c>
      <c r="L4" s="17" t="s">
        <v>12</v>
      </c>
    </row>
    <row r="5" customFormat="false" ht="13.8" hidden="false" customHeight="false" outlineLevel="0" collapsed="false">
      <c r="A5" s="28"/>
      <c r="B5" s="19"/>
      <c r="C5" s="20"/>
      <c r="D5" s="21"/>
      <c r="E5" s="22" t="str">
        <f aca="false">IF(F5="X",B1+C5+B5,"")</f>
        <v/>
      </c>
      <c r="F5" s="23"/>
      <c r="K5" s="24"/>
      <c r="L5" s="25" t="n">
        <f aca="false">IF(K5&lt;&gt;"",SUMIF($D$5:$D$55,K5,$C$5:$C$55)+SUMIF($D$5:$D$55,K5,$B$5:$B$55))</f>
        <v>0</v>
      </c>
    </row>
    <row r="6" customFormat="false" ht="13.8" hidden="false" customHeight="false" outlineLevel="0" collapsed="false">
      <c r="A6" s="28"/>
      <c r="B6" s="19"/>
      <c r="C6" s="20"/>
      <c r="D6" s="21"/>
      <c r="E6" s="22" t="str">
        <f aca="false">IF(F6="X",E5+C6+B6,"")</f>
        <v/>
      </c>
      <c r="F6" s="23"/>
      <c r="K6" s="26"/>
      <c r="L6" s="25" t="str">
        <f aca="false">IF(K6&lt;&gt;"",SUMIF($D$5:$D$55,K6,$C$5:$C$55)+SUMIF($D$5:$D$55,K6,$B$5:$B$55),"")</f>
        <v/>
      </c>
    </row>
    <row r="7" customFormat="false" ht="13.8" hidden="false" customHeight="false" outlineLevel="0" collapsed="false">
      <c r="A7" s="28"/>
      <c r="B7" s="19"/>
      <c r="C7" s="20"/>
      <c r="D7" s="21"/>
      <c r="E7" s="22" t="str">
        <f aca="false">IF(F7="X",E6+C7+B7,"")</f>
        <v/>
      </c>
      <c r="F7" s="23"/>
      <c r="K7" s="26"/>
      <c r="L7" s="25" t="str">
        <f aca="false">IF(K7&lt;&gt;"",SUMIF($D$5:$D$55,K7,$C$5:$C$55)+SUMIF($D$5:$D$55,K7,$B$5:$B$55),"")</f>
        <v/>
      </c>
    </row>
    <row r="8" customFormat="false" ht="13.8" hidden="false" customHeight="false" outlineLevel="0" collapsed="false">
      <c r="A8" s="28"/>
      <c r="B8" s="19"/>
      <c r="C8" s="20"/>
      <c r="D8" s="21"/>
      <c r="E8" s="22" t="str">
        <f aca="false">IF(F8="X",E7+C8+B8,"")</f>
        <v/>
      </c>
      <c r="F8" s="23"/>
      <c r="K8" s="26"/>
      <c r="L8" s="25" t="str">
        <f aca="false">IF(K8&lt;&gt;"",SUMIF($D$5:$D$55,K8,$C$5:$C$55)+SUMIF($D$5:$D$55,K8,$B$5:$B$55),"")</f>
        <v/>
      </c>
    </row>
    <row r="9" customFormat="false" ht="13.8" hidden="false" customHeight="false" outlineLevel="0" collapsed="false">
      <c r="A9" s="28"/>
      <c r="B9" s="19"/>
      <c r="C9" s="20"/>
      <c r="D9" s="21"/>
      <c r="E9" s="22" t="str">
        <f aca="false">IF(F9="X",E8+C9+B9,"")</f>
        <v/>
      </c>
      <c r="F9" s="23"/>
      <c r="K9" s="26"/>
      <c r="L9" s="25" t="str">
        <f aca="false">IF(K9&lt;&gt;"",SUMIF($D$5:$D$55,K9,$C$5:$C$55)+SUMIF($D$5:$D$55,K9,$B$5:$B$55),"")</f>
        <v/>
      </c>
    </row>
    <row r="10" customFormat="false" ht="13.8" hidden="false" customHeight="false" outlineLevel="0" collapsed="false">
      <c r="A10" s="28"/>
      <c r="B10" s="19"/>
      <c r="C10" s="20"/>
      <c r="D10" s="21"/>
      <c r="E10" s="22" t="str">
        <f aca="false">IF(F10="X",E9+C10+B10,"")</f>
        <v/>
      </c>
      <c r="F10" s="23"/>
      <c r="K10" s="26"/>
      <c r="L10" s="25" t="str">
        <f aca="false">IF(K10&lt;&gt;"",SUMIF($D$5:$D$55,K10,$C$5:$C$55)+SUMIF($D$5:$D$55,K10,$B$5:$B$55),"")</f>
        <v/>
      </c>
    </row>
    <row r="11" customFormat="false" ht="13.8" hidden="false" customHeight="false" outlineLevel="0" collapsed="false">
      <c r="A11" s="28"/>
      <c r="B11" s="19"/>
      <c r="C11" s="20"/>
      <c r="D11" s="21"/>
      <c r="E11" s="22" t="str">
        <f aca="false">IF(F11="X",E10+C11+B11,"")</f>
        <v/>
      </c>
      <c r="F11" s="23"/>
      <c r="K11" s="26"/>
      <c r="L11" s="25" t="str">
        <f aca="false">IF(K11&lt;&gt;"",SUMIF($D$5:$D$55,K11,$C$5:$C$55)+SUMIF($D$5:$D$55,K11,$B$5:$B$55),"")</f>
        <v/>
      </c>
    </row>
    <row r="12" customFormat="false" ht="13.8" hidden="false" customHeight="false" outlineLevel="0" collapsed="false">
      <c r="A12" s="28"/>
      <c r="B12" s="19"/>
      <c r="C12" s="20"/>
      <c r="D12" s="21"/>
      <c r="E12" s="22" t="str">
        <f aca="false">IF(F12="X",E11+C12+B12,"")</f>
        <v/>
      </c>
      <c r="F12" s="23"/>
      <c r="K12" s="26"/>
      <c r="L12" s="25" t="str">
        <f aca="false">IF(K12&lt;&gt;"",SUMIF($D$5:$D$55,K12,$C$5:$C$55)+SUMIF($D$5:$D$55,K12,$B$5:$B$55),"")</f>
        <v/>
      </c>
    </row>
    <row r="13" customFormat="false" ht="13.8" hidden="false" customHeight="false" outlineLevel="0" collapsed="false">
      <c r="A13" s="28"/>
      <c r="B13" s="19"/>
      <c r="C13" s="20"/>
      <c r="D13" s="21"/>
      <c r="E13" s="22" t="str">
        <f aca="false">IF(F13="X",E12+C13+B13,"")</f>
        <v/>
      </c>
      <c r="F13" s="23"/>
      <c r="K13" s="26"/>
      <c r="L13" s="25" t="str">
        <f aca="false">IF(K13&lt;&gt;"",SUMIF($D$5:$D$55,K13,$C$5:$C$55)+SUMIF($D$5:$D$55,K13,$B$5:$B$55),"")</f>
        <v/>
      </c>
    </row>
    <row r="14" customFormat="false" ht="13.8" hidden="false" customHeight="false" outlineLevel="0" collapsed="false">
      <c r="A14" s="28"/>
      <c r="B14" s="19"/>
      <c r="C14" s="20"/>
      <c r="D14" s="40"/>
      <c r="E14" s="22" t="str">
        <f aca="false">IF(F14="X",E13+C14+B14,"")</f>
        <v/>
      </c>
      <c r="F14" s="23"/>
      <c r="K14" s="26"/>
      <c r="L14" s="25" t="str">
        <f aca="false">IF(K14&lt;&gt;"",SUMIF($D$5:$D$55,K14,$C$5:$C$55)+SUMIF($D$5:$D$55,K14,$B$5:$B$55),"")</f>
        <v/>
      </c>
    </row>
    <row r="15" customFormat="false" ht="13.8" hidden="false" customHeight="false" outlineLevel="0" collapsed="false">
      <c r="A15" s="28"/>
      <c r="B15" s="19"/>
      <c r="C15" s="20"/>
      <c r="D15" s="40"/>
      <c r="E15" s="22" t="str">
        <f aca="false">IF(F15="X",E14+C15+B15,"")</f>
        <v/>
      </c>
      <c r="F15" s="37"/>
      <c r="K15" s="26"/>
      <c r="L15" s="25" t="str">
        <f aca="false">IF(K15&lt;&gt;"",SUMIF($D$5:$D$55,K15,$C$5:$C$55)+SUMIF($D$5:$D$55,K15,$B$5:$B$55),"")</f>
        <v/>
      </c>
    </row>
    <row r="16" customFormat="false" ht="13.8" hidden="false" customHeight="false" outlineLevel="0" collapsed="false">
      <c r="A16" s="28"/>
      <c r="B16" s="19"/>
      <c r="C16" s="20"/>
      <c r="D16" s="21"/>
      <c r="E16" s="22" t="str">
        <f aca="false">IF(F16="X",E15+C16+B16,"")</f>
        <v/>
      </c>
      <c r="F16" s="23"/>
      <c r="K16" s="26"/>
      <c r="L16" s="25" t="str">
        <f aca="false">IF(K16&lt;&gt;"",SUMIF($D$5:$D$55,K16,$C$5:$C$55)+SUMIF($D$5:$D$55,K16,$B$5:$B$55),"")</f>
        <v/>
      </c>
    </row>
    <row r="17" customFormat="false" ht="13.8" hidden="false" customHeight="false" outlineLevel="0" collapsed="false">
      <c r="A17" s="18"/>
      <c r="B17" s="19"/>
      <c r="C17" s="20"/>
      <c r="D17" s="40"/>
      <c r="E17" s="22" t="str">
        <f aca="false">IF(F17="X",E16+C17+B17,"")</f>
        <v/>
      </c>
      <c r="F17" s="37"/>
      <c r="K17" s="26"/>
      <c r="L17" s="25" t="str">
        <f aca="false">IF(K17&lt;&gt;"",SUMIF($D$5:$D$55,K17,$C$5:$C$55)+SUMIF($D$5:$D$55,K17,$B$5:$B$55),"")</f>
        <v/>
      </c>
    </row>
    <row r="18" customFormat="false" ht="13.8" hidden="false" customHeight="false" outlineLevel="0" collapsed="false">
      <c r="A18" s="18"/>
      <c r="B18" s="19"/>
      <c r="C18" s="31"/>
      <c r="D18" s="21"/>
      <c r="E18" s="22" t="str">
        <f aca="false">IF(F18="X",E17+C18+B18,"")</f>
        <v/>
      </c>
      <c r="F18" s="23"/>
      <c r="K18" s="26"/>
      <c r="L18" s="25" t="str">
        <f aca="false">IF(K18&lt;&gt;"",SUMIF($D$5:$D$55,K18,$C$5:$C$55)+SUMIF($D$5:$D$55,K18,$B$5:$B$55),"")</f>
        <v/>
      </c>
    </row>
    <row r="19" customFormat="false" ht="13.8" hidden="false" customHeight="false" outlineLevel="0" collapsed="false">
      <c r="A19" s="18"/>
      <c r="B19" s="19"/>
      <c r="C19" s="20"/>
      <c r="D19" s="21"/>
      <c r="E19" s="22" t="str">
        <f aca="false">IF(F19="X",E18+C19+B19,"")</f>
        <v/>
      </c>
      <c r="F19" s="23"/>
      <c r="K19" s="26"/>
      <c r="L19" s="25" t="str">
        <f aca="false">IF(K19&lt;&gt;"",SUMIF($D$5:$D$55,K19,$C$5:$C$55)+SUMIF($D$5:$D$55,K19,$B$5:$B$55),"")</f>
        <v/>
      </c>
    </row>
    <row r="20" customFormat="false" ht="13.8" hidden="false" customHeight="false" outlineLevel="0" collapsed="false">
      <c r="A20" s="28"/>
      <c r="B20" s="19"/>
      <c r="C20" s="20"/>
      <c r="D20" s="21"/>
      <c r="E20" s="22" t="str">
        <f aca="false">IF(F20="X",E19+C20+B20,"")</f>
        <v/>
      </c>
      <c r="F20" s="23"/>
      <c r="K20" s="26"/>
      <c r="L20" s="25" t="str">
        <f aca="false">IF(K20&lt;&gt;"",SUMIF($D$5:$D$55,K20,$C$5:$C$55)+SUMIF($D$5:$D$55,K20,$B$5:$B$55),"")</f>
        <v/>
      </c>
    </row>
    <row r="21" customFormat="false" ht="13.8" hidden="false" customHeight="false" outlineLevel="0" collapsed="false">
      <c r="A21" s="28"/>
      <c r="B21" s="19"/>
      <c r="C21" s="20"/>
      <c r="D21" s="21"/>
      <c r="E21" s="22" t="str">
        <f aca="false">IF(F21="X",E20+C21+B21,"")</f>
        <v/>
      </c>
      <c r="F21" s="23"/>
      <c r="K21" s="26"/>
      <c r="L21" s="25" t="str">
        <f aca="false">IF(K21&lt;&gt;"",SUMIF($D$5:$D$55,K21,$C$5:$C$55)+SUMIF($D$5:$D$55,K21,$B$5:$B$55),"")</f>
        <v/>
      </c>
    </row>
    <row r="22" customFormat="false" ht="13.8" hidden="false" customHeight="false" outlineLevel="0" collapsed="false">
      <c r="A22" s="28"/>
      <c r="B22" s="30"/>
      <c r="C22" s="31"/>
      <c r="D22" s="21"/>
      <c r="E22" s="22" t="str">
        <f aca="false">IF(F22="X",E21+C22+B22,"")</f>
        <v/>
      </c>
      <c r="F22" s="23"/>
      <c r="K22" s="26"/>
      <c r="L22" s="25" t="str">
        <f aca="false">IF(K22&lt;&gt;"",SUMIF($D$5:$D$55,K22,$C$5:$C$55)+SUMIF($D$5:$D$55,K22,$B$5:$B$55),"")</f>
        <v/>
      </c>
    </row>
    <row r="23" customFormat="false" ht="13.8" hidden="false" customHeight="false" outlineLevel="0" collapsed="false">
      <c r="A23" s="28"/>
      <c r="B23" s="19"/>
      <c r="C23" s="20"/>
      <c r="D23" s="21"/>
      <c r="E23" s="22" t="str">
        <f aca="false">IF(F23="X",E22+C23+B23,"")</f>
        <v/>
      </c>
      <c r="F23" s="23"/>
      <c r="K23" s="26"/>
      <c r="L23" s="25" t="str">
        <f aca="false">IF(K23&lt;&gt;"",SUMIF($D$5:$D$55,K23,$C$5:$C$55)+SUMIF($D$5:$D$55,K23,$B$5:$B$55),"")</f>
        <v/>
      </c>
    </row>
    <row r="24" customFormat="false" ht="13.8" hidden="false" customHeight="false" outlineLevel="0" collapsed="false">
      <c r="A24" s="28"/>
      <c r="B24" s="19"/>
      <c r="C24" s="20"/>
      <c r="D24" s="21"/>
      <c r="E24" s="22" t="str">
        <f aca="false">IF(F24="X",E23+C24+B24,"")</f>
        <v/>
      </c>
      <c r="F24" s="23"/>
      <c r="K24" s="26"/>
      <c r="L24" s="25" t="str">
        <f aca="false">IF(K24&lt;&gt;"",SUMIF($D$5:$D$55,K24,$C$5:$C$55)+SUMIF($D$5:$D$55,K24,$B$5:$B$55),"")</f>
        <v/>
      </c>
    </row>
    <row r="25" customFormat="false" ht="13.8" hidden="false" customHeight="false" outlineLevel="0" collapsed="false">
      <c r="A25" s="18"/>
      <c r="B25" s="19"/>
      <c r="C25" s="20"/>
      <c r="D25" s="21"/>
      <c r="E25" s="22" t="str">
        <f aca="false">IF(F25="X",E24+C25+B25,"")</f>
        <v/>
      </c>
      <c r="F25" s="23"/>
      <c r="K25" s="26"/>
      <c r="L25" s="22"/>
    </row>
    <row r="26" customFormat="false" ht="13.8" hidden="false" customHeight="false" outlineLevel="0" collapsed="false">
      <c r="A26" s="18"/>
      <c r="B26" s="19"/>
      <c r="C26" s="20"/>
      <c r="D26" s="21"/>
      <c r="E26" s="22" t="str">
        <f aca="false">IF(F26="X",E25+C26+B26,"")</f>
        <v/>
      </c>
      <c r="F26" s="23"/>
      <c r="K26" s="26"/>
      <c r="L26" s="22"/>
    </row>
    <row r="27" customFormat="false" ht="13.8" hidden="false" customHeight="false" outlineLevel="0" collapsed="false">
      <c r="A27" s="18"/>
      <c r="B27" s="19"/>
      <c r="C27" s="20"/>
      <c r="D27" s="21"/>
      <c r="E27" s="22" t="str">
        <f aca="false">IF(F27="X",E26+C27+B27,"")</f>
        <v/>
      </c>
      <c r="F27" s="23"/>
      <c r="K27" s="26"/>
      <c r="L27" s="22"/>
    </row>
    <row r="28" customFormat="false" ht="13.8" hidden="false" customHeight="false" outlineLevel="0" collapsed="false">
      <c r="A28" s="18"/>
      <c r="B28" s="19"/>
      <c r="C28" s="20"/>
      <c r="D28" s="21"/>
      <c r="E28" s="22" t="str">
        <f aca="false">IF(F28="X",E27+C28+B28,"")</f>
        <v/>
      </c>
      <c r="F28" s="23"/>
      <c r="K28" s="26"/>
      <c r="L28" s="22"/>
    </row>
    <row r="29" customFormat="false" ht="13.8" hidden="false" customHeight="false" outlineLevel="0" collapsed="false">
      <c r="A29" s="18"/>
      <c r="B29" s="19"/>
      <c r="C29" s="20"/>
      <c r="D29" s="21"/>
      <c r="E29" s="22" t="str">
        <f aca="false">IF(F29="X",E28+C29+B29,"")</f>
        <v/>
      </c>
      <c r="F29" s="23"/>
      <c r="K29" s="26"/>
      <c r="L29" s="22"/>
    </row>
    <row r="30" customFormat="false" ht="13.8" hidden="false" customHeight="false" outlineLevel="0" collapsed="false">
      <c r="A30" s="28"/>
      <c r="B30" s="19"/>
      <c r="C30" s="20"/>
      <c r="D30" s="21"/>
      <c r="E30" s="22" t="str">
        <f aca="false">IF(F30="X",E29+C30+B30,"")</f>
        <v/>
      </c>
      <c r="F30" s="23"/>
      <c r="K30" s="26"/>
      <c r="L30" s="22"/>
    </row>
    <row r="31" customFormat="false" ht="13.8" hidden="false" customHeight="false" outlineLevel="0" collapsed="false">
      <c r="A31" s="18"/>
      <c r="B31" s="19"/>
      <c r="C31" s="20"/>
      <c r="D31" s="21"/>
      <c r="E31" s="22" t="str">
        <f aca="false">IF(F31="X",E30+C31+B31,"")</f>
        <v/>
      </c>
      <c r="F31" s="23"/>
      <c r="K31" s="26"/>
      <c r="L31" s="22"/>
    </row>
    <row r="32" customFormat="false" ht="13.8" hidden="false" customHeight="false" outlineLevel="0" collapsed="false">
      <c r="A32" s="18"/>
      <c r="B32" s="19"/>
      <c r="C32" s="20"/>
      <c r="D32" s="21"/>
      <c r="E32" s="22" t="str">
        <f aca="false">IF(F32="X",E31+C32+B32,"")</f>
        <v/>
      </c>
      <c r="F32" s="23"/>
      <c r="K32" s="26"/>
      <c r="L32" s="22"/>
    </row>
    <row r="33" customFormat="false" ht="13.8" hidden="false" customHeight="false" outlineLevel="0" collapsed="false">
      <c r="A33" s="28"/>
      <c r="B33" s="19"/>
      <c r="C33" s="20"/>
      <c r="D33" s="21"/>
      <c r="E33" s="22" t="str">
        <f aca="false">IF(F33="X",E32+C33+B33,"")</f>
        <v/>
      </c>
      <c r="F33" s="23"/>
      <c r="K33" s="26"/>
      <c r="L33" s="22"/>
    </row>
    <row r="34" customFormat="false" ht="13.8" hidden="false" customHeight="false" outlineLevel="0" collapsed="false">
      <c r="A34" s="28"/>
      <c r="B34" s="19"/>
      <c r="C34" s="20"/>
      <c r="D34" s="21"/>
      <c r="E34" s="22" t="str">
        <f aca="false">IF(F34="X",E33+C34+B34,"")</f>
        <v/>
      </c>
      <c r="F34" s="23"/>
      <c r="K34" s="26"/>
      <c r="L34" s="22"/>
    </row>
    <row r="35" customFormat="false" ht="13.8" hidden="false" customHeight="false" outlineLevel="0" collapsed="false">
      <c r="A35" s="28"/>
      <c r="B35" s="19"/>
      <c r="C35" s="20"/>
      <c r="D35" s="21"/>
      <c r="E35" s="22" t="str">
        <f aca="false">IF(F35="X",E34+C35+B35,"")</f>
        <v/>
      </c>
      <c r="F35" s="23"/>
      <c r="K35" s="26"/>
      <c r="L35" s="22" t="str">
        <f aca="false">IF(Tableau732327[[#This Row],[PRATIQUE]]&lt;&gt;"",SUMIF($D$5:$D$16,K35,$C$5:$C$16)+SUMIF($D$5:$D$16,K35,$B$5:$B$16),"")</f>
        <v/>
      </c>
    </row>
    <row r="36" customFormat="false" ht="13.8" hidden="false" customHeight="false" outlineLevel="0" collapsed="false">
      <c r="A36" s="28"/>
      <c r="B36" s="19"/>
      <c r="C36" s="20"/>
      <c r="D36" s="21"/>
      <c r="E36" s="22" t="str">
        <f aca="false">IF(F36="X",E35+C36+B36,"")</f>
        <v/>
      </c>
      <c r="F36" s="23"/>
      <c r="K36" s="26"/>
      <c r="L36" s="22" t="str">
        <f aca="false">IF(Tableau732327[[#This Row],[PRATIQUE]]&lt;&gt;"",SUMIF($D$5:$D$16,K36,$C$5:$C$16)+SUMIF($D$5:$D$16,K36,$B$5:$B$16),"")</f>
        <v/>
      </c>
    </row>
    <row r="37" customFormat="false" ht="13.8" hidden="false" customHeight="false" outlineLevel="0" collapsed="false">
      <c r="A37" s="28"/>
      <c r="B37" s="19"/>
      <c r="C37" s="20"/>
      <c r="D37" s="21"/>
      <c r="E37" s="22" t="str">
        <f aca="false">IF(F37="X",E36+C37+B37,"")</f>
        <v/>
      </c>
      <c r="F37" s="23"/>
      <c r="K37" s="26"/>
      <c r="L37" s="22" t="str">
        <f aca="false">IF(Tableau732327[[#This Row],[PRATIQUE]]&lt;&gt;"",SUMIF($D$5:$D$16,K37,$C$5:$C$16)+SUMIF($D$5:$D$16,K37,$B$5:$B$16),"")</f>
        <v/>
      </c>
    </row>
    <row r="38" customFormat="false" ht="13.8" hidden="false" customHeight="false" outlineLevel="0" collapsed="false">
      <c r="A38" s="28"/>
      <c r="B38" s="19"/>
      <c r="C38" s="20"/>
      <c r="D38" s="21"/>
      <c r="E38" s="22" t="str">
        <f aca="false">IF(F38="X",E37+C38+B38,"")</f>
        <v/>
      </c>
      <c r="F38" s="23"/>
      <c r="K38" s="26"/>
      <c r="L38" s="22" t="str">
        <f aca="false">IF(Tableau732327[[#This Row],[PRATIQUE]]&lt;&gt;"",SUMIF($D$5:$D$16,K38,$C$5:$C$16)+SUMIF($D$5:$D$16,K38,$B$5:$B$16),"")</f>
        <v/>
      </c>
    </row>
    <row r="39" customFormat="false" ht="13.8" hidden="false" customHeight="false" outlineLevel="0" collapsed="false">
      <c r="A39" s="28"/>
      <c r="B39" s="19"/>
      <c r="C39" s="20"/>
      <c r="D39" s="21"/>
      <c r="E39" s="22" t="str">
        <f aca="false">IF(F39="X",E38+C39+B39,"")</f>
        <v/>
      </c>
      <c r="F39" s="23"/>
      <c r="K39" s="41"/>
      <c r="L39" s="42"/>
    </row>
    <row r="40" customFormat="false" ht="13.8" hidden="false" customHeight="false" outlineLevel="0" collapsed="false">
      <c r="A40" s="28"/>
      <c r="B40" s="19"/>
      <c r="C40" s="20"/>
      <c r="D40" s="21"/>
      <c r="E40" s="22" t="str">
        <f aca="false">IF(F40="X",#REF!+C40+B40,"")</f>
        <v/>
      </c>
      <c r="F40" s="23"/>
      <c r="K40" s="32"/>
      <c r="L40" s="32"/>
    </row>
    <row r="41" customFormat="false" ht="13.8" hidden="false" customHeight="false" outlineLevel="0" collapsed="false">
      <c r="A41" s="28"/>
      <c r="B41" s="19"/>
      <c r="C41" s="20"/>
      <c r="D41" s="21"/>
      <c r="E41" s="22" t="str">
        <f aca="false">IF(F41="X",E40+C41+B41,"")</f>
        <v/>
      </c>
      <c r="F41" s="23"/>
      <c r="K41" s="43" t="s">
        <v>41</v>
      </c>
      <c r="L41" s="44" t="n">
        <f aca="false">SUMIF(D5:D42,"Orange",C5:C42)+SUMIF(D5:D42,"TEGO",C5:C42)+SUMIF(D5:D42,"Carac",C5:C42)+SUMIF(D5:D42,"UNEO",C5:C42)+SUMIF(D5:D42,"Crédit Mutuel",C5:C42)+SUMIF(D5:D42,"Millesime",C5:C42)+SUMIF(D5:D42,"Loyer",C5:C42)+SUMIF(D5:D42,"GoWod",C5:C42)+SUMIF(D5:D42,"EPARMIL",C5:C42)+SUMIF(D5:D42,"Virement Livret Bébé",C5:C42)</f>
        <v>0</v>
      </c>
    </row>
    <row r="42" customFormat="false" ht="13.8" hidden="false" customHeight="false" outlineLevel="0" collapsed="false">
      <c r="A42" s="28"/>
      <c r="B42" s="19"/>
      <c r="C42" s="20"/>
      <c r="D42" s="21"/>
      <c r="E42" s="22" t="str">
        <f aca="false">IF(F42="X",E41+C42+B42,"")</f>
        <v/>
      </c>
      <c r="F42" s="23"/>
      <c r="K42" s="34"/>
      <c r="L42" s="34"/>
    </row>
    <row r="43" customFormat="false" ht="13.8" hidden="false" customHeight="false" outlineLevel="0" collapsed="false">
      <c r="A43" s="28"/>
      <c r="B43" s="19"/>
      <c r="C43" s="20"/>
      <c r="D43" s="21"/>
      <c r="E43" s="24" t="str">
        <f aca="false">IF(F43="X",B40+C43+B43,"")</f>
        <v/>
      </c>
      <c r="F43" s="23"/>
      <c r="K43" s="45" t="s">
        <v>12</v>
      </c>
      <c r="L43" s="44" t="n">
        <f aca="false">SUM(L5:L38)</f>
        <v>0</v>
      </c>
    </row>
    <row r="44" customFormat="false" ht="13.8" hidden="false" customHeight="false" outlineLevel="0" collapsed="false">
      <c r="A44" s="28"/>
      <c r="B44" s="46"/>
      <c r="C44" s="33"/>
      <c r="D44" s="21"/>
      <c r="E44" s="24"/>
      <c r="F44" s="23"/>
      <c r="K44" s="35" t="s">
        <v>42</v>
      </c>
      <c r="L44" s="22" t="n">
        <f aca="false">I1+L43+L41</f>
        <v>0</v>
      </c>
    </row>
    <row r="45" customFormat="false" ht="13.8" hidden="false" customHeight="false" outlineLevel="0" collapsed="false">
      <c r="A45" s="28"/>
      <c r="B45" s="46"/>
      <c r="C45" s="33"/>
      <c r="D45" s="21"/>
      <c r="E45" s="24"/>
      <c r="F45" s="23"/>
    </row>
    <row r="46" customFormat="false" ht="13.8" hidden="false" customHeight="false" outlineLevel="0" collapsed="false">
      <c r="A46" s="28"/>
      <c r="B46" s="46"/>
      <c r="C46" s="33"/>
      <c r="D46" s="21"/>
      <c r="E46" s="24"/>
      <c r="F46" s="23"/>
    </row>
    <row r="47" customFormat="false" ht="13.8" hidden="false" customHeight="false" outlineLevel="0" collapsed="false">
      <c r="A47" s="28"/>
      <c r="B47" s="46"/>
      <c r="C47" s="33"/>
      <c r="D47" s="21"/>
      <c r="E47" s="24"/>
      <c r="F47" s="23"/>
    </row>
    <row r="48" customFormat="false" ht="13.8" hidden="false" customHeight="false" outlineLevel="0" collapsed="false">
      <c r="A48" s="28"/>
      <c r="B48" s="46"/>
      <c r="C48" s="33"/>
      <c r="D48" s="21"/>
      <c r="E48" s="24"/>
      <c r="F48" s="23"/>
    </row>
    <row r="49" customFormat="false" ht="13.8" hidden="false" customHeight="false" outlineLevel="0" collapsed="false">
      <c r="A49" s="47"/>
      <c r="B49" s="48"/>
      <c r="C49" s="49"/>
      <c r="D49" s="50"/>
      <c r="E49" s="51"/>
      <c r="F49" s="52"/>
    </row>
    <row r="50" customFormat="false" ht="13.8" hidden="false" customHeight="false" outlineLevel="0" collapsed="false">
      <c r="A50" s="47"/>
      <c r="B50" s="48"/>
      <c r="C50" s="49"/>
      <c r="D50" s="50"/>
      <c r="E50" s="51"/>
      <c r="F50" s="52"/>
    </row>
    <row r="51" customFormat="false" ht="13.8" hidden="false" customHeight="false" outlineLevel="0" collapsed="false">
      <c r="A51" s="47"/>
      <c r="B51" s="48"/>
      <c r="C51" s="49"/>
      <c r="D51" s="50"/>
      <c r="E51" s="51"/>
      <c r="F51" s="52"/>
    </row>
    <row r="52" customFormat="false" ht="13.8" hidden="false" customHeight="false" outlineLevel="0" collapsed="false">
      <c r="A52" s="47"/>
      <c r="B52" s="48"/>
      <c r="C52" s="49"/>
      <c r="D52" s="50"/>
      <c r="E52" s="51"/>
      <c r="F52" s="52"/>
    </row>
    <row r="53" customFormat="false" ht="13.8" hidden="false" customHeight="false" outlineLevel="0" collapsed="false">
      <c r="A53" s="47"/>
      <c r="B53" s="48"/>
      <c r="C53" s="49"/>
      <c r="D53" s="50"/>
      <c r="E53" s="51"/>
      <c r="F53" s="52"/>
    </row>
    <row r="54" customFormat="false" ht="13.8" hidden="false" customHeight="false" outlineLevel="0" collapsed="false">
      <c r="A54" s="47"/>
      <c r="B54" s="48"/>
      <c r="C54" s="49"/>
      <c r="D54" s="50"/>
      <c r="E54" s="51"/>
      <c r="F54" s="52"/>
    </row>
    <row r="55" customFormat="false" ht="13.8" hidden="false" customHeight="false" outlineLevel="0" collapsed="false">
      <c r="A55" s="47"/>
      <c r="B55" s="48"/>
      <c r="C55" s="49"/>
      <c r="D55" s="50"/>
      <c r="E55" s="51"/>
      <c r="F55" s="9"/>
    </row>
    <row r="56" customFormat="false" ht="13.8" hidden="false" customHeight="false" outlineLevel="0" collapsed="false">
      <c r="A56" s="53"/>
      <c r="B56" s="48"/>
      <c r="C56" s="49"/>
      <c r="D56" s="50"/>
      <c r="E56" s="51"/>
      <c r="F56" s="9"/>
    </row>
    <row r="57" customFormat="false" ht="13.8" hidden="false" customHeight="false" outlineLevel="0" collapsed="false">
      <c r="A57" s="53"/>
      <c r="B57" s="48"/>
      <c r="C57" s="49"/>
      <c r="D57" s="50"/>
      <c r="E57" s="51"/>
      <c r="F57" s="9"/>
      <c r="J57" s="36"/>
    </row>
    <row r="58" customFormat="false" ht="13.8" hidden="false" customHeight="false" outlineLevel="0" collapsed="false">
      <c r="A58" s="53"/>
      <c r="B58" s="48"/>
      <c r="C58" s="49"/>
      <c r="D58" s="50"/>
      <c r="E58" s="51"/>
      <c r="F58" s="9"/>
    </row>
    <row r="59" customFormat="false" ht="13.8" hidden="false" customHeight="false" outlineLevel="0" collapsed="false">
      <c r="A59" s="53"/>
      <c r="B59" s="48"/>
      <c r="C59" s="49"/>
      <c r="D59" s="50"/>
      <c r="E59" s="51"/>
      <c r="F59" s="9"/>
    </row>
    <row r="60" customFormat="false" ht="13.8" hidden="false" customHeight="false" outlineLevel="0" collapsed="false">
      <c r="A60" s="53"/>
      <c r="B60" s="48"/>
      <c r="C60" s="49"/>
      <c r="D60" s="50"/>
      <c r="E60" s="51"/>
      <c r="F60" s="9"/>
    </row>
    <row r="61" customFormat="false" ht="13.8" hidden="false" customHeight="false" outlineLevel="0" collapsed="false">
      <c r="A61" s="53"/>
      <c r="B61" s="48"/>
      <c r="C61" s="49"/>
      <c r="D61" s="50"/>
      <c r="E61" s="51"/>
      <c r="F61" s="9"/>
    </row>
    <row r="62" customFormat="false" ht="13.8" hidden="false" customHeight="false" outlineLevel="0" collapsed="false">
      <c r="A62" s="53"/>
      <c r="B62" s="48"/>
      <c r="C62" s="49"/>
      <c r="D62" s="50"/>
      <c r="E62" s="51"/>
      <c r="F62" s="9"/>
    </row>
    <row r="63" customFormat="false" ht="13.8" hidden="false" customHeight="false" outlineLevel="0" collapsed="false">
      <c r="A63" s="53"/>
      <c r="B63" s="48"/>
      <c r="C63" s="49"/>
      <c r="D63" s="50"/>
      <c r="E63" s="51"/>
      <c r="F63" s="9"/>
    </row>
    <row r="64" customFormat="false" ht="13.8" hidden="false" customHeight="false" outlineLevel="0" collapsed="false">
      <c r="A64" s="53"/>
      <c r="B64" s="48"/>
      <c r="C64" s="49"/>
      <c r="D64" s="50"/>
      <c r="E64" s="51"/>
      <c r="F64" s="9"/>
    </row>
    <row r="65" customFormat="false" ht="13.8" hidden="false" customHeight="false" outlineLevel="0" collapsed="false">
      <c r="A65" s="53"/>
      <c r="B65" s="48"/>
      <c r="C65" s="49"/>
      <c r="D65" s="50"/>
      <c r="E65" s="51"/>
      <c r="F65" s="9"/>
    </row>
    <row r="66" customFormat="false" ht="13.8" hidden="false" customHeight="false" outlineLevel="0" collapsed="false">
      <c r="A66" s="53"/>
      <c r="B66" s="48"/>
      <c r="C66" s="49"/>
      <c r="D66" s="50"/>
      <c r="E66" s="51"/>
      <c r="F66" s="9"/>
    </row>
    <row r="67" customFormat="false" ht="13.8" hidden="false" customHeight="false" outlineLevel="0" collapsed="false">
      <c r="A67" s="53"/>
      <c r="B67" s="48"/>
      <c r="C67" s="49"/>
      <c r="D67" s="50"/>
      <c r="E67" s="51"/>
      <c r="F67" s="9"/>
    </row>
    <row r="68" customFormat="false" ht="13.8" hidden="false" customHeight="false" outlineLevel="0" collapsed="false">
      <c r="A68" s="53"/>
      <c r="B68" s="48"/>
      <c r="C68" s="49"/>
      <c r="D68" s="50"/>
      <c r="E68" s="51"/>
      <c r="F68" s="9"/>
    </row>
    <row r="1048575" customFormat="false" ht="12.8" hidden="false" customHeight="false" outlineLevel="0" collapsed="false"/>
    <row r="1048576" customFormat="false" ht="12.8" hidden="false" customHeight="false" outlineLevel="0" collapsed="false"/>
  </sheetData>
  <mergeCells count="1">
    <mergeCell ref="K42:L42"/>
  </mergeCells>
  <conditionalFormatting sqref="L27">
    <cfRule type="cellIs" priority="2" operator="lessThan" aboveAverage="0" equalAverage="0" bottom="0" percent="0" rank="0" text="" dxfId="213">
      <formula>0</formula>
    </cfRule>
    <cfRule type="cellIs" priority="3" operator="greaterThan" aboveAverage="0" equalAverage="0" bottom="0" percent="0" rank="0" text="" dxfId="214">
      <formula>0</formula>
    </cfRule>
  </conditionalFormatting>
  <conditionalFormatting sqref="L41:L42">
    <cfRule type="cellIs" priority="4" operator="greaterThan" aboveAverage="0" equalAverage="0" bottom="0" percent="0" rank="0" text="" dxfId="215">
      <formula>0</formula>
    </cfRule>
    <cfRule type="cellIs" priority="5" operator="lessThan" aboveAverage="0" equalAverage="0" bottom="0" percent="0" rank="0" text="" dxfId="216">
      <formula>0</formula>
    </cfRule>
  </conditionalFormatting>
  <conditionalFormatting sqref="K37">
    <cfRule type="expression" priority="6" aboveAverage="0" equalAverage="0" bottom="0" percent="0" rank="0" text="" dxfId="217">
      <formula>L37&gt;0</formula>
    </cfRule>
    <cfRule type="expression" priority="7" aboveAverage="0" equalAverage="0" bottom="0" percent="0" rank="0" text="" dxfId="218">
      <formula>L37&lt;0</formula>
    </cfRule>
  </conditionalFormatting>
  <conditionalFormatting sqref="K36">
    <cfRule type="expression" priority="8" aboveAverage="0" equalAverage="0" bottom="0" percent="0" rank="0" text="" dxfId="219">
      <formula>L36&gt;0</formula>
    </cfRule>
    <cfRule type="expression" priority="9" aboveAverage="0" equalAverage="0" bottom="0" percent="0" rank="0" text="" dxfId="220">
      <formula>L36&lt;0</formula>
    </cfRule>
  </conditionalFormatting>
  <conditionalFormatting sqref="K35">
    <cfRule type="expression" priority="10" aboveAverage="0" equalAverage="0" bottom="0" percent="0" rank="0" text="" dxfId="221">
      <formula>L35&gt;0</formula>
    </cfRule>
    <cfRule type="expression" priority="11" aboveAverage="0" equalAverage="0" bottom="0" percent="0" rank="0" text="" dxfId="222">
      <formula>L35&lt;0</formula>
    </cfRule>
  </conditionalFormatting>
  <conditionalFormatting sqref="K34">
    <cfRule type="expression" priority="12" aboveAverage="0" equalAverage="0" bottom="0" percent="0" rank="0" text="" dxfId="223">
      <formula>L34&gt;0</formula>
    </cfRule>
    <cfRule type="expression" priority="13" aboveAverage="0" equalAverage="0" bottom="0" percent="0" rank="0" text="" dxfId="224">
      <formula>L34&lt;0</formula>
    </cfRule>
  </conditionalFormatting>
  <conditionalFormatting sqref="K33">
    <cfRule type="expression" priority="14" aboveAverage="0" equalAverage="0" bottom="0" percent="0" rank="0" text="" dxfId="225">
      <formula>L33&gt;0</formula>
    </cfRule>
    <cfRule type="expression" priority="15" aboveAverage="0" equalAverage="0" bottom="0" percent="0" rank="0" text="" dxfId="226">
      <formula>L33&lt;0</formula>
    </cfRule>
  </conditionalFormatting>
  <conditionalFormatting sqref="K32">
    <cfRule type="expression" priority="16" aboveAverage="0" equalAverage="0" bottom="0" percent="0" rank="0" text="" dxfId="227">
      <formula>L32&gt;0</formula>
    </cfRule>
    <cfRule type="expression" priority="17" aboveAverage="0" equalAverage="0" bottom="0" percent="0" rank="0" text="" dxfId="228">
      <formula>L32&lt;0</formula>
    </cfRule>
  </conditionalFormatting>
  <conditionalFormatting sqref="K31">
    <cfRule type="expression" priority="18" aboveAverage="0" equalAverage="0" bottom="0" percent="0" rank="0" text="" dxfId="229">
      <formula>L31&gt;0</formula>
    </cfRule>
    <cfRule type="expression" priority="19" aboveAverage="0" equalAverage="0" bottom="0" percent="0" rank="0" text="" dxfId="230">
      <formula>L31&lt;0</formula>
    </cfRule>
  </conditionalFormatting>
  <conditionalFormatting sqref="K30">
    <cfRule type="expression" priority="20" aboveAverage="0" equalAverage="0" bottom="0" percent="0" rank="0" text="" dxfId="231">
      <formula>L30&gt;0</formula>
    </cfRule>
    <cfRule type="expression" priority="21" aboveAverage="0" equalAverage="0" bottom="0" percent="0" rank="0" text="" dxfId="232">
      <formula>L30&lt;0</formula>
    </cfRule>
  </conditionalFormatting>
  <conditionalFormatting sqref="K29">
    <cfRule type="expression" priority="22" aboveAverage="0" equalAverage="0" bottom="0" percent="0" rank="0" text="" dxfId="233">
      <formula>L29&gt;0</formula>
    </cfRule>
    <cfRule type="expression" priority="23" aboveAverage="0" equalAverage="0" bottom="0" percent="0" rank="0" text="" dxfId="234">
      <formula>L29&lt;0</formula>
    </cfRule>
  </conditionalFormatting>
  <conditionalFormatting sqref="K28">
    <cfRule type="expression" priority="24" aboveAverage="0" equalAverage="0" bottom="0" percent="0" rank="0" text="" dxfId="235">
      <formula>L28&gt;0</formula>
    </cfRule>
    <cfRule type="expression" priority="25" aboveAverage="0" equalAverage="0" bottom="0" percent="0" rank="0" text="" dxfId="236">
      <formula>L28&lt;0</formula>
    </cfRule>
  </conditionalFormatting>
  <conditionalFormatting sqref="K27">
    <cfRule type="expression" priority="26" aboveAverage="0" equalAverage="0" bottom="0" percent="0" rank="0" text="" dxfId="237">
      <formula>L27&gt;0</formula>
    </cfRule>
    <cfRule type="expression" priority="27" aboveAverage="0" equalAverage="0" bottom="0" percent="0" rank="0" text="" dxfId="238">
      <formula>L27&lt;0</formula>
    </cfRule>
  </conditionalFormatting>
  <conditionalFormatting sqref="K26">
    <cfRule type="expression" priority="28" aboveAverage="0" equalAverage="0" bottom="0" percent="0" rank="0" text="" dxfId="239">
      <formula>L26&gt;0</formula>
    </cfRule>
    <cfRule type="expression" priority="29" aboveAverage="0" equalAverage="0" bottom="0" percent="0" rank="0" text="" dxfId="240">
      <formula>L26&lt;0</formula>
    </cfRule>
  </conditionalFormatting>
  <conditionalFormatting sqref="K25">
    <cfRule type="expression" priority="30" aboveAverage="0" equalAverage="0" bottom="0" percent="0" rank="0" text="" dxfId="241">
      <formula>L25&gt;0</formula>
    </cfRule>
    <cfRule type="expression" priority="31" aboveAverage="0" equalAverage="0" bottom="0" percent="0" rank="0" text="" dxfId="242">
      <formula>L25&lt;0</formula>
    </cfRule>
  </conditionalFormatting>
  <conditionalFormatting sqref="K24">
    <cfRule type="expression" priority="32" aboveAverage="0" equalAverage="0" bottom="0" percent="0" rank="0" text="" dxfId="243">
      <formula>L24&gt;0</formula>
    </cfRule>
    <cfRule type="expression" priority="33" aboveAverage="0" equalAverage="0" bottom="0" percent="0" rank="0" text="" dxfId="244">
      <formula>L24&lt;0</formula>
    </cfRule>
  </conditionalFormatting>
  <conditionalFormatting sqref="K23">
    <cfRule type="expression" priority="34" aboveAverage="0" equalAverage="0" bottom="0" percent="0" rank="0" text="" dxfId="245">
      <formula>L23&gt;0</formula>
    </cfRule>
    <cfRule type="expression" priority="35" aboveAverage="0" equalAverage="0" bottom="0" percent="0" rank="0" text="" dxfId="246">
      <formula>L23&lt;0</formula>
    </cfRule>
  </conditionalFormatting>
  <conditionalFormatting sqref="K22">
    <cfRule type="expression" priority="36" aboveAverage="0" equalAverage="0" bottom="0" percent="0" rank="0" text="" dxfId="247">
      <formula>L22&gt;0</formula>
    </cfRule>
    <cfRule type="expression" priority="37" aboveAverage="0" equalAverage="0" bottom="0" percent="0" rank="0" text="" dxfId="248">
      <formula>L22&lt;0</formula>
    </cfRule>
  </conditionalFormatting>
  <conditionalFormatting sqref="K21">
    <cfRule type="expression" priority="38" aboveAverage="0" equalAverage="0" bottom="0" percent="0" rank="0" text="" dxfId="249">
      <formula>L21&gt;0</formula>
    </cfRule>
    <cfRule type="expression" priority="39" aboveAverage="0" equalAverage="0" bottom="0" percent="0" rank="0" text="" dxfId="250">
      <formula>L21&lt;0</formula>
    </cfRule>
  </conditionalFormatting>
  <conditionalFormatting sqref="K20">
    <cfRule type="expression" priority="40" aboveAverage="0" equalAverage="0" bottom="0" percent="0" rank="0" text="" dxfId="251">
      <formula>L20&gt;0</formula>
    </cfRule>
    <cfRule type="expression" priority="41" aboveAverage="0" equalAverage="0" bottom="0" percent="0" rank="0" text="" dxfId="252">
      <formula>L20&lt;0</formula>
    </cfRule>
  </conditionalFormatting>
  <conditionalFormatting sqref="K19">
    <cfRule type="expression" priority="42" aboveAverage="0" equalAverage="0" bottom="0" percent="0" rank="0" text="" dxfId="253">
      <formula>L19&gt;0</formula>
    </cfRule>
    <cfRule type="expression" priority="43" aboveAverage="0" equalAverage="0" bottom="0" percent="0" rank="0" text="" dxfId="254">
      <formula>L19&lt;0</formula>
    </cfRule>
  </conditionalFormatting>
  <conditionalFormatting sqref="K17:K18">
    <cfRule type="expression" priority="44" aboveAverage="0" equalAverage="0" bottom="0" percent="0" rank="0" text="" dxfId="255">
      <formula>L17&gt;0</formula>
    </cfRule>
    <cfRule type="expression" priority="45" aboveAverage="0" equalAverage="0" bottom="0" percent="0" rank="0" text="" dxfId="256">
      <formula>L17&lt;0</formula>
    </cfRule>
  </conditionalFormatting>
  <conditionalFormatting sqref="K16">
    <cfRule type="expression" priority="46" aboveAverage="0" equalAverage="0" bottom="0" percent="0" rank="0" text="" dxfId="257">
      <formula>L16&gt;0</formula>
    </cfRule>
    <cfRule type="expression" priority="47" aboveAverage="0" equalAverage="0" bottom="0" percent="0" rank="0" text="" dxfId="258">
      <formula>L16&lt;0</formula>
    </cfRule>
  </conditionalFormatting>
  <conditionalFormatting sqref="K15">
    <cfRule type="expression" priority="48" aboveAverage="0" equalAverage="0" bottom="0" percent="0" rank="0" text="" dxfId="259">
      <formula>L15&gt;0</formula>
    </cfRule>
    <cfRule type="expression" priority="49" aboveAverage="0" equalAverage="0" bottom="0" percent="0" rank="0" text="" dxfId="260">
      <formula>L15&lt;0</formula>
    </cfRule>
  </conditionalFormatting>
  <conditionalFormatting sqref="K14">
    <cfRule type="expression" priority="50" aboveAverage="0" equalAverage="0" bottom="0" percent="0" rank="0" text="" dxfId="261">
      <formula>L14&gt;0</formula>
    </cfRule>
    <cfRule type="expression" priority="51" aboveAverage="0" equalAverage="0" bottom="0" percent="0" rank="0" text="" dxfId="262">
      <formula>L14&lt;0</formula>
    </cfRule>
  </conditionalFormatting>
  <conditionalFormatting sqref="K13">
    <cfRule type="expression" priority="52" aboveAverage="0" equalAverage="0" bottom="0" percent="0" rank="0" text="" dxfId="263">
      <formula>L13&gt;0</formula>
    </cfRule>
    <cfRule type="expression" priority="53" aboveAverage="0" equalAverage="0" bottom="0" percent="0" rank="0" text="" dxfId="264">
      <formula>L13&lt;0</formula>
    </cfRule>
  </conditionalFormatting>
  <conditionalFormatting sqref="K12">
    <cfRule type="expression" priority="54" aboveAverage="0" equalAverage="0" bottom="0" percent="0" rank="0" text="" dxfId="265">
      <formula>L12&gt;0</formula>
    </cfRule>
    <cfRule type="expression" priority="55" aboveAverage="0" equalAverage="0" bottom="0" percent="0" rank="0" text="" dxfId="266">
      <formula>L12&lt;0</formula>
    </cfRule>
  </conditionalFormatting>
  <conditionalFormatting sqref="K11">
    <cfRule type="expression" priority="56" aboveAverage="0" equalAverage="0" bottom="0" percent="0" rank="0" text="" dxfId="267">
      <formula>L11&gt;0</formula>
    </cfRule>
    <cfRule type="expression" priority="57" aboveAverage="0" equalAverage="0" bottom="0" percent="0" rank="0" text="" dxfId="268">
      <formula>L11&lt;0</formula>
    </cfRule>
  </conditionalFormatting>
  <conditionalFormatting sqref="K10">
    <cfRule type="expression" priority="58" aboveAverage="0" equalAverage="0" bottom="0" percent="0" rank="0" text="" dxfId="269">
      <formula>L10&gt;0</formula>
    </cfRule>
    <cfRule type="expression" priority="59" aboveAverage="0" equalAverage="0" bottom="0" percent="0" rank="0" text="" dxfId="270">
      <formula>L10&lt;0</formula>
    </cfRule>
  </conditionalFormatting>
  <conditionalFormatting sqref="K9">
    <cfRule type="expression" priority="60" aboveAverage="0" equalAverage="0" bottom="0" percent="0" rank="0" text="" dxfId="271">
      <formula>L9&gt;0</formula>
    </cfRule>
    <cfRule type="expression" priority="61" aboveAverage="0" equalAverage="0" bottom="0" percent="0" rank="0" text="" dxfId="272">
      <formula>L9&lt;0</formula>
    </cfRule>
  </conditionalFormatting>
  <conditionalFormatting sqref="K8">
    <cfRule type="expression" priority="62" aboveAverage="0" equalAverage="0" bottom="0" percent="0" rank="0" text="" dxfId="273">
      <formula>L8&gt;0</formula>
    </cfRule>
    <cfRule type="expression" priority="63" aboveAverage="0" equalAverage="0" bottom="0" percent="0" rank="0" text="" dxfId="274">
      <formula>L8&lt;0</formula>
    </cfRule>
  </conditionalFormatting>
  <conditionalFormatting sqref="K7">
    <cfRule type="expression" priority="64" aboveAverage="0" equalAverage="0" bottom="0" percent="0" rank="0" text="" dxfId="275">
      <formula>L7&gt;0</formula>
    </cfRule>
    <cfRule type="expression" priority="65" aboveAverage="0" equalAverage="0" bottom="0" percent="0" rank="0" text="" dxfId="276">
      <formula>L7&lt;0</formula>
    </cfRule>
  </conditionalFormatting>
  <conditionalFormatting sqref="K6">
    <cfRule type="expression" priority="66" aboveAverage="0" equalAverage="0" bottom="0" percent="0" rank="0" text="" dxfId="277">
      <formula>L6&gt;0</formula>
    </cfRule>
    <cfRule type="expression" priority="67" aboveAverage="0" equalAverage="0" bottom="0" percent="0" rank="0" text="" dxfId="278">
      <formula>L6&lt;0</formula>
    </cfRule>
  </conditionalFormatting>
  <conditionalFormatting sqref="K5">
    <cfRule type="expression" priority="68" aboveAverage="0" equalAverage="0" bottom="0" percent="0" rank="0" text="" dxfId="279">
      <formula>L5&gt;0</formula>
    </cfRule>
    <cfRule type="expression" priority="69" aboveAverage="0" equalAverage="0" bottom="0" percent="0" rank="0" text="" dxfId="280">
      <formula>L5&lt;0</formula>
    </cfRule>
  </conditionalFormatting>
  <conditionalFormatting sqref="K38">
    <cfRule type="expression" priority="70" aboveAverage="0" equalAverage="0" bottom="0" percent="0" rank="0" text="" dxfId="281">
      <formula>L43&lt;0</formula>
    </cfRule>
    <cfRule type="expression" priority="71" aboveAverage="0" equalAverage="0" bottom="0" percent="0" rank="0" text="" dxfId="282">
      <formula>L43&gt;0</formula>
    </cfRule>
  </conditionalFormatting>
  <conditionalFormatting sqref="L30">
    <cfRule type="cellIs" priority="72" operator="lessThan" aboveAverage="0" equalAverage="0" bottom="0" percent="0" rank="0" text="" dxfId="283">
      <formula>0</formula>
    </cfRule>
    <cfRule type="cellIs" priority="73" operator="greaterThan" aboveAverage="0" equalAverage="0" bottom="0" percent="0" rank="0" text="" dxfId="284">
      <formula>0</formula>
    </cfRule>
  </conditionalFormatting>
  <conditionalFormatting sqref="L29">
    <cfRule type="cellIs" priority="74" operator="lessThan" aboveAverage="0" equalAverage="0" bottom="0" percent="0" rank="0" text="" dxfId="285">
      <formula>0</formula>
    </cfRule>
    <cfRule type="cellIs" priority="75" operator="greaterThan" aboveAverage="0" equalAverage="0" bottom="0" percent="0" rank="0" text="" dxfId="286">
      <formula>0</formula>
    </cfRule>
  </conditionalFormatting>
  <conditionalFormatting sqref="L28">
    <cfRule type="cellIs" priority="76" operator="lessThan" aboveAverage="0" equalAverage="0" bottom="0" percent="0" rank="0" text="" dxfId="287">
      <formula>0</formula>
    </cfRule>
    <cfRule type="cellIs" priority="77" operator="greaterThan" aboveAverage="0" equalAverage="0" bottom="0" percent="0" rank="0" text="" dxfId="288">
      <formula>0</formula>
    </cfRule>
  </conditionalFormatting>
  <conditionalFormatting sqref="L27">
    <cfRule type="cellIs" priority="78" operator="lessThan" aboveAverage="0" equalAverage="0" bottom="0" percent="0" rank="0" text="" dxfId="289">
      <formula>0</formula>
    </cfRule>
    <cfRule type="cellIs" priority="79" operator="greaterThan" aboveAverage="0" equalAverage="0" bottom="0" percent="0" rank="0" text="" dxfId="290">
      <formula>0</formula>
    </cfRule>
  </conditionalFormatting>
  <conditionalFormatting sqref="L26">
    <cfRule type="cellIs" priority="80" operator="lessThan" aboveAverage="0" equalAverage="0" bottom="0" percent="0" rank="0" text="" dxfId="291">
      <formula>0</formula>
    </cfRule>
    <cfRule type="cellIs" priority="81" operator="greaterThan" aboveAverage="0" equalAverage="0" bottom="0" percent="0" rank="0" text="" dxfId="292">
      <formula>0</formula>
    </cfRule>
  </conditionalFormatting>
  <conditionalFormatting sqref="L25">
    <cfRule type="cellIs" priority="82" operator="lessThan" aboveAverage="0" equalAverage="0" bottom="0" percent="0" rank="0" text="" dxfId="293">
      <formula>0</formula>
    </cfRule>
    <cfRule type="cellIs" priority="83" operator="greaterThan" aboveAverage="0" equalAverage="0" bottom="0" percent="0" rank="0" text="" dxfId="294">
      <formula>0</formula>
    </cfRule>
  </conditionalFormatting>
  <conditionalFormatting sqref="L6:L38 L42:L44">
    <cfRule type="cellIs" priority="84" operator="greaterThan" aboveAverage="0" equalAverage="0" bottom="0" percent="0" rank="0" text="" dxfId="295">
      <formula>0</formula>
    </cfRule>
    <cfRule type="cellIs" priority="85" operator="lessThan" aboveAverage="0" equalAverage="0" bottom="0" percent="0" rank="0" text="" dxfId="296">
      <formula>0</formula>
    </cfRule>
  </conditionalFormatting>
  <conditionalFormatting sqref="L44">
    <cfRule type="cellIs" priority="86" operator="greaterThan" aboveAverage="0" equalAverage="0" bottom="0" percent="0" rank="0" text="" dxfId="297">
      <formula>0</formula>
    </cfRule>
    <cfRule type="expression" priority="87" aboveAverage="0" equalAverage="0" bottom="0" percent="0" rank="0" text="" dxfId="298">
      <formula>$L$5:$L$38&lt;0</formula>
    </cfRule>
  </conditionalFormatting>
  <conditionalFormatting sqref="L24">
    <cfRule type="cellIs" priority="88" operator="lessThan" aboveAverage="0" equalAverage="0" bottom="0" percent="0" rank="0" text="" dxfId="95">
      <formula>0</formula>
    </cfRule>
    <cfRule type="cellIs" priority="89" operator="greaterThan" aboveAverage="0" equalAverage="0" bottom="0" percent="0" rank="0" text="" dxfId="96">
      <formula>0</formula>
    </cfRule>
  </conditionalFormatting>
  <conditionalFormatting sqref="L23">
    <cfRule type="cellIs" priority="90" operator="lessThan" aboveAverage="0" equalAverage="0" bottom="0" percent="0" rank="0" text="" dxfId="97">
      <formula>0</formula>
    </cfRule>
    <cfRule type="cellIs" priority="91" operator="greaterThan" aboveAverage="0" equalAverage="0" bottom="0" percent="0" rank="0" text="" dxfId="98">
      <formula>0</formula>
    </cfRule>
  </conditionalFormatting>
  <conditionalFormatting sqref="L22">
    <cfRule type="cellIs" priority="92" operator="lessThan" aboveAverage="0" equalAverage="0" bottom="0" percent="0" rank="0" text="" dxfId="99">
      <formula>0</formula>
    </cfRule>
    <cfRule type="cellIs" priority="93" operator="greaterThan" aboveAverage="0" equalAverage="0" bottom="0" percent="0" rank="0" text="" dxfId="100">
      <formula>0</formula>
    </cfRule>
  </conditionalFormatting>
  <conditionalFormatting sqref="L21">
    <cfRule type="cellIs" priority="94" operator="lessThan" aboveAverage="0" equalAverage="0" bottom="0" percent="0" rank="0" text="" dxfId="101">
      <formula>0</formula>
    </cfRule>
    <cfRule type="cellIs" priority="95" operator="greaterThan" aboveAverage="0" equalAverage="0" bottom="0" percent="0" rank="0" text="" dxfId="102">
      <formula>0</formula>
    </cfRule>
  </conditionalFormatting>
  <conditionalFormatting sqref="L20">
    <cfRule type="cellIs" priority="96" operator="lessThan" aboveAverage="0" equalAverage="0" bottom="0" percent="0" rank="0" text="" dxfId="103">
      <formula>0</formula>
    </cfRule>
    <cfRule type="cellIs" priority="97" operator="greaterThan" aboveAverage="0" equalAverage="0" bottom="0" percent="0" rank="0" text="" dxfId="104">
      <formula>0</formula>
    </cfRule>
  </conditionalFormatting>
  <conditionalFormatting sqref="L13">
    <cfRule type="cellIs" priority="98" operator="lessThan" aboveAverage="0" equalAverage="0" bottom="0" percent="0" rank="0" text="" dxfId="105">
      <formula>0</formula>
    </cfRule>
    <cfRule type="cellIs" priority="99" operator="greaterThan" aboveAverage="0" equalAverage="0" bottom="0" percent="0" rank="0" text="" dxfId="106">
      <formula>0</formula>
    </cfRule>
  </conditionalFormatting>
  <conditionalFormatting sqref="L12">
    <cfRule type="cellIs" priority="100" operator="lessThan" aboveAverage="0" equalAverage="0" bottom="0" percent="0" rank="0" text="" dxfId="107">
      <formula>0</formula>
    </cfRule>
    <cfRule type="cellIs" priority="101" operator="greaterThan" aboveAverage="0" equalAverage="0" bottom="0" percent="0" rank="0" text="" dxfId="108">
      <formula>0</formula>
    </cfRule>
  </conditionalFormatting>
  <conditionalFormatting sqref="L11">
    <cfRule type="cellIs" priority="102" operator="lessThan" aboveAverage="0" equalAverage="0" bottom="0" percent="0" rank="0" text="" dxfId="109">
      <formula>0</formula>
    </cfRule>
    <cfRule type="cellIs" priority="103" operator="greaterThan" aboveAverage="0" equalAverage="0" bottom="0" percent="0" rank="0" text="" dxfId="110">
      <formula>0</formula>
    </cfRule>
  </conditionalFormatting>
  <conditionalFormatting sqref="L10">
    <cfRule type="cellIs" priority="104" operator="lessThan" aboveAverage="0" equalAverage="0" bottom="0" percent="0" rank="0" text="" dxfId="111">
      <formula>0</formula>
    </cfRule>
    <cfRule type="cellIs" priority="105" operator="greaterThan" aboveAverage="0" equalAverage="0" bottom="0" percent="0" rank="0" text="" dxfId="112">
      <formula>0</formula>
    </cfRule>
  </conditionalFormatting>
  <conditionalFormatting sqref="L9">
    <cfRule type="cellIs" priority="106" operator="lessThan" aboveAverage="0" equalAverage="0" bottom="0" percent="0" rank="0" text="" dxfId="113">
      <formula>0</formula>
    </cfRule>
    <cfRule type="cellIs" priority="107" operator="greaterThan" aboveAverage="0" equalAverage="0" bottom="0" percent="0" rank="0" text="" dxfId="114">
      <formula>0</formula>
    </cfRule>
  </conditionalFormatting>
  <conditionalFormatting sqref="L8">
    <cfRule type="cellIs" priority="108" operator="lessThan" aboveAverage="0" equalAverage="0" bottom="0" percent="0" rank="0" text="" dxfId="115">
      <formula>0</formula>
    </cfRule>
    <cfRule type="cellIs" priority="109" operator="greaterThan" aboveAverage="0" equalAverage="0" bottom="0" percent="0" rank="0" text="" dxfId="116">
      <formula>0</formula>
    </cfRule>
  </conditionalFormatting>
  <conditionalFormatting sqref="L7">
    <cfRule type="cellIs" priority="110" operator="lessThan" aboveAverage="0" equalAverage="0" bottom="0" percent="0" rank="0" text="" dxfId="117">
      <formula>0</formula>
    </cfRule>
    <cfRule type="cellIs" priority="111" operator="greaterThan" aboveAverage="0" equalAverage="0" bottom="0" percent="0" rank="0" text="" dxfId="118">
      <formula>0</formula>
    </cfRule>
  </conditionalFormatting>
  <conditionalFormatting sqref="L6">
    <cfRule type="cellIs" priority="112" operator="lessThan" aboveAverage="0" equalAverage="0" bottom="0" percent="0" rank="0" text="" dxfId="119">
      <formula>0</formula>
    </cfRule>
    <cfRule type="cellIs" priority="113" operator="greaterThan" aboveAverage="0" equalAverage="0" bottom="0" percent="0" rank="0" text="" dxfId="120">
      <formula>0</formula>
    </cfRule>
  </conditionalFormatting>
  <conditionalFormatting sqref="L5">
    <cfRule type="cellIs" priority="114" operator="lessThan" aboveAverage="0" equalAverage="0" bottom="0" percent="0" rank="0" text="" dxfId="121">
      <formula>0</formula>
    </cfRule>
    <cfRule type="cellIs" priority="115" operator="greaterThan" aboveAverage="0" equalAverage="0" bottom="0" percent="0" rank="0" text="" dxfId="122">
      <formula>0</formula>
    </cfRule>
  </conditionalFormatting>
  <conditionalFormatting sqref="L5:L24">
    <cfRule type="cellIs" priority="116" operator="greaterThan" aboveAverage="0" equalAverage="0" bottom="0" percent="0" rank="0" text="" dxfId="123">
      <formula>0</formula>
    </cfRule>
    <cfRule type="cellIs" priority="117" operator="lessThan" aboveAverage="0" equalAverage="0" bottom="0" percent="0" rank="0" text="" dxfId="124">
      <formula>0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0485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47" activeCellId="0" sqref="D47"/>
    </sheetView>
  </sheetViews>
  <sheetFormatPr defaultColWidth="11.4453125" defaultRowHeight="13.8" zeroHeight="false" outlineLevelRow="0" outlineLevelCol="0"/>
  <cols>
    <col collapsed="false" customWidth="true" hidden="false" outlineLevel="0" max="1" min="1" style="1" width="13.88"/>
    <col collapsed="false" customWidth="false" hidden="false" outlineLevel="0" max="3" min="2" style="1" width="11.44"/>
    <col collapsed="false" customWidth="true" hidden="false" outlineLevel="0" max="4" min="4" style="1" width="25.88"/>
    <col collapsed="false" customWidth="true" hidden="false" outlineLevel="0" max="5" min="5" style="1" width="12.88"/>
    <col collapsed="false" customWidth="true" hidden="false" outlineLevel="0" max="6" min="6" style="1" width="8.88"/>
    <col collapsed="false" customWidth="false" hidden="false" outlineLevel="0" max="7" min="7" style="1" width="11.44"/>
    <col collapsed="false" customWidth="true" hidden="false" outlineLevel="0" max="8" min="8" style="1" width="15.56"/>
    <col collapsed="false" customWidth="false" hidden="false" outlineLevel="0" max="10" min="9" style="1" width="11.44"/>
    <col collapsed="false" customWidth="true" hidden="false" outlineLevel="0" max="11" min="11" style="1" width="25.67"/>
    <col collapsed="false" customWidth="true" hidden="false" outlineLevel="0" max="12" min="12" style="1" width="11.56"/>
    <col collapsed="false" customWidth="false" hidden="false" outlineLevel="0" max="13" min="13" style="1" width="11.44"/>
    <col collapsed="false" customWidth="true" hidden="false" outlineLevel="0" max="14" min="14" style="1" width="25.56"/>
    <col collapsed="false" customWidth="false" hidden="false" outlineLevel="0" max="16384" min="15" style="1" width="11.44"/>
  </cols>
  <sheetData>
    <row r="1" customFormat="false" ht="14.25" hidden="false" customHeight="false" outlineLevel="0" collapsed="false">
      <c r="A1" s="2" t="s">
        <v>0</v>
      </c>
      <c r="B1" s="3"/>
      <c r="D1" s="4" t="s">
        <v>1</v>
      </c>
      <c r="E1" s="3" t="n">
        <f aca="false">SUM(C5:C53)+SUM(B5:B53)-SUMIF(Tableau3218[Raison],"Salaire",Tableau3218[Crédit])</f>
        <v>0</v>
      </c>
      <c r="F1" s="5"/>
      <c r="G1" s="6"/>
      <c r="H1" s="4" t="s">
        <v>45</v>
      </c>
      <c r="I1" s="3" t="n">
        <f aca="false">IF(SUMIF(Tableau3218[Raison],"Salaire",Tableau3218[Crédit])=0,2200,SUMIF(Tableau3218[Raison],"Salaire",Tableau3218[Crédit]))</f>
        <v>2200</v>
      </c>
    </row>
    <row r="2" customFormat="false" ht="15" hidden="false" customHeight="false" outlineLevel="0" collapsed="false">
      <c r="A2" s="2" t="s">
        <v>3</v>
      </c>
      <c r="B2" s="3"/>
      <c r="D2" s="4" t="s">
        <v>4</v>
      </c>
      <c r="E2" s="3" t="n">
        <f aca="false">I1+E1</f>
        <v>2200</v>
      </c>
      <c r="F2" s="7"/>
      <c r="G2" s="8" t="n">
        <f aca="false">(100/I1)*E2/100</f>
        <v>1</v>
      </c>
    </row>
    <row r="3" customFormat="false" ht="14.25" hidden="false" customHeight="false" outlineLevel="0" collapsed="false">
      <c r="F3" s="9"/>
    </row>
    <row r="4" customFormat="false" ht="13.8" hidden="false" customHeight="false" outlineLevel="0" collapsed="false">
      <c r="A4" s="10" t="s">
        <v>5</v>
      </c>
      <c r="B4" s="11" t="s">
        <v>6</v>
      </c>
      <c r="C4" s="12" t="s">
        <v>7</v>
      </c>
      <c r="D4" s="13" t="s">
        <v>8</v>
      </c>
      <c r="E4" s="14" t="s">
        <v>9</v>
      </c>
      <c r="F4" s="15" t="s">
        <v>10</v>
      </c>
      <c r="K4" s="16" t="s">
        <v>11</v>
      </c>
      <c r="L4" s="17" t="s">
        <v>12</v>
      </c>
    </row>
    <row r="5" customFormat="false" ht="13.8" hidden="false" customHeight="false" outlineLevel="0" collapsed="false">
      <c r="A5" s="28"/>
      <c r="B5" s="19"/>
      <c r="C5" s="20"/>
      <c r="D5" s="21"/>
      <c r="E5" s="22" t="str">
        <f aca="false">IF(F5="X",B1+C5+B5,"")</f>
        <v/>
      </c>
      <c r="F5" s="23"/>
      <c r="K5" s="24"/>
      <c r="L5" s="25" t="n">
        <f aca="false">IF(K5&lt;&gt;"",SUMIF($D$5:$D$55,K5,$C$5:$C$55)+SUMIF($D$5:$D$55,K5,$B$5:$B$55))</f>
        <v>0</v>
      </c>
    </row>
    <row r="6" customFormat="false" ht="13.8" hidden="false" customHeight="false" outlineLevel="0" collapsed="false">
      <c r="A6" s="28"/>
      <c r="B6" s="19"/>
      <c r="C6" s="20"/>
      <c r="D6" s="21"/>
      <c r="E6" s="22" t="str">
        <f aca="false">IF(F6="X",E5+C6+B6,"")</f>
        <v/>
      </c>
      <c r="F6" s="23"/>
      <c r="K6" s="26"/>
      <c r="L6" s="25" t="str">
        <f aca="false">IF(K6&lt;&gt;"",SUMIF($D$5:$D$55,K6,$C$5:$C$55)+SUMIF($D$5:$D$55,K6,$B$5:$B$55),"")</f>
        <v/>
      </c>
    </row>
    <row r="7" customFormat="false" ht="13.8" hidden="false" customHeight="false" outlineLevel="0" collapsed="false">
      <c r="A7" s="28"/>
      <c r="B7" s="19"/>
      <c r="C7" s="20"/>
      <c r="D7" s="21"/>
      <c r="E7" s="22" t="str">
        <f aca="false">IF(F7="X",E6+C7+B7,"")</f>
        <v/>
      </c>
      <c r="F7" s="23"/>
      <c r="K7" s="26"/>
      <c r="L7" s="25" t="str">
        <f aca="false">IF(K7&lt;&gt;"",SUMIF($D$5:$D$55,K7,$C$5:$C$55)+SUMIF($D$5:$D$55,K7,$B$5:$B$55),"")</f>
        <v/>
      </c>
    </row>
    <row r="8" customFormat="false" ht="13.8" hidden="false" customHeight="false" outlineLevel="0" collapsed="false">
      <c r="A8" s="28"/>
      <c r="B8" s="19"/>
      <c r="C8" s="20"/>
      <c r="D8" s="21"/>
      <c r="E8" s="22" t="str">
        <f aca="false">IF(F8="X",E7+C8+B8,"")</f>
        <v/>
      </c>
      <c r="F8" s="23"/>
      <c r="K8" s="26"/>
      <c r="L8" s="25" t="str">
        <f aca="false">IF(K8&lt;&gt;"",SUMIF($D$5:$D$55,K8,$C$5:$C$55)+SUMIF($D$5:$D$55,K8,$B$5:$B$55),"")</f>
        <v/>
      </c>
    </row>
    <row r="9" customFormat="false" ht="13.8" hidden="false" customHeight="false" outlineLevel="0" collapsed="false">
      <c r="A9" s="28"/>
      <c r="B9" s="19"/>
      <c r="C9" s="20"/>
      <c r="D9" s="21"/>
      <c r="E9" s="22" t="str">
        <f aca="false">IF(F9="X",E8+C9+B9,"")</f>
        <v/>
      </c>
      <c r="F9" s="23"/>
      <c r="K9" s="26"/>
      <c r="L9" s="25" t="str">
        <f aca="false">IF(K9&lt;&gt;"",SUMIF($D$5:$D$55,K9,$C$5:$C$55)+SUMIF($D$5:$D$55,K9,$B$5:$B$55),"")</f>
        <v/>
      </c>
    </row>
    <row r="10" customFormat="false" ht="13.8" hidden="false" customHeight="false" outlineLevel="0" collapsed="false">
      <c r="A10" s="28"/>
      <c r="B10" s="19"/>
      <c r="C10" s="20"/>
      <c r="D10" s="21"/>
      <c r="E10" s="22" t="str">
        <f aca="false">IF(F10="X",E9+C10+B10,"")</f>
        <v/>
      </c>
      <c r="F10" s="37"/>
      <c r="K10" s="26"/>
      <c r="L10" s="25" t="str">
        <f aca="false">IF(K10&lt;&gt;"",SUMIF($D$5:$D$55,K10,$C$5:$C$55)+SUMIF($D$5:$D$55,K10,$B$5:$B$55),"")</f>
        <v/>
      </c>
    </row>
    <row r="11" customFormat="false" ht="13.8" hidden="false" customHeight="false" outlineLevel="0" collapsed="false">
      <c r="A11" s="28"/>
      <c r="B11" s="19"/>
      <c r="C11" s="31"/>
      <c r="D11" s="21"/>
      <c r="E11" s="22" t="str">
        <f aca="false">IF(F11="X",E10+C11+B11,"")</f>
        <v/>
      </c>
      <c r="F11" s="23"/>
      <c r="K11" s="26"/>
      <c r="L11" s="25" t="str">
        <f aca="false">IF(K11&lt;&gt;"",SUMIF($D$5:$D$55,K11,$C$5:$C$55)+SUMIF($D$5:$D$55,K11,$B$5:$B$55),"")</f>
        <v/>
      </c>
    </row>
    <row r="12" customFormat="false" ht="13.8" hidden="false" customHeight="false" outlineLevel="0" collapsed="false">
      <c r="A12" s="28"/>
      <c r="B12" s="30"/>
      <c r="C12" s="31"/>
      <c r="D12" s="21"/>
      <c r="E12" s="22" t="str">
        <f aca="false">IF(F12="X",E11+C12+B12,"")</f>
        <v/>
      </c>
      <c r="F12" s="23"/>
      <c r="K12" s="26"/>
      <c r="L12" s="25" t="str">
        <f aca="false">IF(K12&lt;&gt;"",SUMIF($D$5:$D$55,K12,$C$5:$C$55)+SUMIF($D$5:$D$55,K12,$B$5:$B$55),"")</f>
        <v/>
      </c>
    </row>
    <row r="13" customFormat="false" ht="13.8" hidden="false" customHeight="false" outlineLevel="0" collapsed="false">
      <c r="A13" s="18"/>
      <c r="B13" s="19"/>
      <c r="C13" s="20"/>
      <c r="D13" s="21"/>
      <c r="E13" s="22" t="str">
        <f aca="false">IF(F13="X",E12+C13+B13,"")</f>
        <v/>
      </c>
      <c r="F13" s="23"/>
      <c r="K13" s="26"/>
      <c r="L13" s="25" t="str">
        <f aca="false">IF(K13&lt;&gt;"",SUMIF($D$5:$D$55,K13,$C$5:$C$55)+SUMIF($D$5:$D$55,K13,$B$5:$B$55),"")</f>
        <v/>
      </c>
    </row>
    <row r="14" customFormat="false" ht="13.8" hidden="false" customHeight="false" outlineLevel="0" collapsed="false">
      <c r="A14" s="18"/>
      <c r="B14" s="19"/>
      <c r="C14" s="20"/>
      <c r="D14" s="21"/>
      <c r="E14" s="22" t="str">
        <f aca="false">IF(F14="X",E13+C14+B14,"")</f>
        <v/>
      </c>
      <c r="F14" s="23"/>
      <c r="K14" s="26"/>
      <c r="L14" s="25" t="str">
        <f aca="false">IF(K14&lt;&gt;"",SUMIF($D$5:$D$55,K14,$C$5:$C$55)+SUMIF($D$5:$D$55,K14,$B$5:$B$55),"")</f>
        <v/>
      </c>
    </row>
    <row r="15" customFormat="false" ht="13.8" hidden="false" customHeight="false" outlineLevel="0" collapsed="false">
      <c r="A15" s="28"/>
      <c r="B15" s="19"/>
      <c r="C15" s="20"/>
      <c r="D15" s="21"/>
      <c r="E15" s="22" t="str">
        <f aca="false">IF(F15="X",E14+C15+B15,"")</f>
        <v/>
      </c>
      <c r="F15" s="23"/>
      <c r="K15" s="26"/>
      <c r="L15" s="25" t="str">
        <f aca="false">IF(K15&lt;&gt;"",SUMIF($D$5:$D$55,K15,$C$5:$C$55)+SUMIF($D$5:$D$55,K15,$B$5:$B$55),"")</f>
        <v/>
      </c>
    </row>
    <row r="16" customFormat="false" ht="13.8" hidden="false" customHeight="false" outlineLevel="0" collapsed="false">
      <c r="A16" s="28"/>
      <c r="B16" s="19"/>
      <c r="C16" s="20"/>
      <c r="D16" s="21"/>
      <c r="E16" s="22" t="str">
        <f aca="false">IF(F16="X",E15+C16+B16,"")</f>
        <v/>
      </c>
      <c r="F16" s="23"/>
      <c r="K16" s="26"/>
      <c r="L16" s="25" t="str">
        <f aca="false">IF(K16&lt;&gt;"",SUMIF($D$5:$D$55,K16,$C$5:$C$55)+SUMIF($D$5:$D$55,K16,$B$5:$B$55),"")</f>
        <v/>
      </c>
    </row>
    <row r="17" customFormat="false" ht="13.8" hidden="false" customHeight="false" outlineLevel="0" collapsed="false">
      <c r="A17" s="28"/>
      <c r="B17" s="19"/>
      <c r="C17" s="20"/>
      <c r="D17" s="21"/>
      <c r="E17" s="22" t="str">
        <f aca="false">IF(F17="X",E16+C17+B17,"")</f>
        <v/>
      </c>
      <c r="F17" s="37"/>
      <c r="K17" s="46"/>
      <c r="L17" s="25" t="str">
        <f aca="false">IF(K17&lt;&gt;"",SUMIF($D$5:$D$55,K17,$C$5:$C$55)+SUMIF($D$5:$D$55,K17,$B$5:$B$55),"")</f>
        <v/>
      </c>
    </row>
    <row r="18" customFormat="false" ht="13.8" hidden="false" customHeight="false" outlineLevel="0" collapsed="false">
      <c r="A18" s="28"/>
      <c r="B18" s="19"/>
      <c r="C18" s="20"/>
      <c r="D18" s="21"/>
      <c r="E18" s="22" t="str">
        <f aca="false">IF(F18="X",E17+C18+B18,"")</f>
        <v/>
      </c>
      <c r="F18" s="23"/>
      <c r="K18" s="26"/>
      <c r="L18" s="25" t="str">
        <f aca="false">IF(K18&lt;&gt;"",SUMIF($D$5:$D$55,K18,$C$5:$C$55)+SUMIF($D$5:$D$55,K18,$B$5:$B$55),"")</f>
        <v/>
      </c>
    </row>
    <row r="19" customFormat="false" ht="13.8" hidden="false" customHeight="false" outlineLevel="0" collapsed="false">
      <c r="A19" s="28"/>
      <c r="B19" s="19"/>
      <c r="C19" s="20"/>
      <c r="D19" s="21"/>
      <c r="E19" s="22" t="str">
        <f aca="false">IF(F19="X",E18+C19+B19,"")</f>
        <v/>
      </c>
      <c r="F19" s="23"/>
      <c r="K19" s="26"/>
      <c r="L19" s="25" t="str">
        <f aca="false">IF(K19&lt;&gt;"",SUMIF($D$5:$D$55,K19,$C$5:$C$55)+SUMIF($D$5:$D$55,K19,$B$5:$B$55),"")</f>
        <v/>
      </c>
    </row>
    <row r="20" customFormat="false" ht="13.8" hidden="false" customHeight="false" outlineLevel="0" collapsed="false">
      <c r="A20" s="28"/>
      <c r="B20" s="19"/>
      <c r="C20" s="20"/>
      <c r="D20" s="21"/>
      <c r="E20" s="22" t="str">
        <f aca="false">IF(F20="X",E19+C20+B20,"")</f>
        <v/>
      </c>
      <c r="F20" s="23"/>
      <c r="K20" s="26"/>
      <c r="L20" s="25" t="str">
        <f aca="false">IF(K20&lt;&gt;"",SUMIF($D$5:$D$55,K20,$C$5:$C$55)+SUMIF($D$5:$D$55,K20,$B$5:$B$55),"")</f>
        <v/>
      </c>
    </row>
    <row r="21" customFormat="false" ht="13.8" hidden="false" customHeight="false" outlineLevel="0" collapsed="false">
      <c r="A21" s="28"/>
      <c r="B21" s="19"/>
      <c r="C21" s="20"/>
      <c r="D21" s="21"/>
      <c r="E21" s="22" t="str">
        <f aca="false">IF(F21="X",E20+C21+B21,"")</f>
        <v/>
      </c>
      <c r="F21" s="23"/>
      <c r="K21" s="26"/>
      <c r="L21" s="25" t="str">
        <f aca="false">IF(K21&lt;&gt;"",SUMIF($D$5:$D$55,K21,$C$5:$C$55)+SUMIF($D$5:$D$55,K21,$B$5:$B$55),"")</f>
        <v/>
      </c>
    </row>
    <row r="22" customFormat="false" ht="13.8" hidden="false" customHeight="false" outlineLevel="0" collapsed="false">
      <c r="A22" s="28"/>
      <c r="B22" s="19"/>
      <c r="C22" s="20"/>
      <c r="D22" s="21"/>
      <c r="E22" s="22" t="str">
        <f aca="false">IF(F22="X",E21+C22+B22,"")</f>
        <v/>
      </c>
      <c r="F22" s="23"/>
      <c r="K22" s="26"/>
      <c r="L22" s="25" t="str">
        <f aca="false">IF(K22&lt;&gt;"",SUMIF($D$5:$D$55,K22,$C$5:$C$55)+SUMIF($D$5:$D$55,K22,$B$5:$B$55),"")</f>
        <v/>
      </c>
    </row>
    <row r="23" customFormat="false" ht="13.8" hidden="false" customHeight="false" outlineLevel="0" collapsed="false">
      <c r="A23" s="28"/>
      <c r="B23" s="19"/>
      <c r="C23" s="20"/>
      <c r="D23" s="21"/>
      <c r="E23" s="22" t="str">
        <f aca="false">IF(F23="X",E22+C23+B23,"")</f>
        <v/>
      </c>
      <c r="F23" s="23"/>
      <c r="K23" s="26"/>
      <c r="L23" s="25" t="str">
        <f aca="false">IF(K23&lt;&gt;"",SUMIF($D$5:$D$55,K23,$C$5:$C$55)+SUMIF($D$5:$D$55,K23,$B$5:$B$55),"")</f>
        <v/>
      </c>
    </row>
    <row r="24" customFormat="false" ht="13.8" hidden="false" customHeight="false" outlineLevel="0" collapsed="false">
      <c r="A24" s="28"/>
      <c r="B24" s="19"/>
      <c r="C24" s="20"/>
      <c r="D24" s="21"/>
      <c r="E24" s="22" t="str">
        <f aca="false">IF(F24="X",E23+C24+B24,"")</f>
        <v/>
      </c>
      <c r="F24" s="23"/>
      <c r="K24" s="26"/>
      <c r="L24" s="25" t="str">
        <f aca="false">IF(K24&lt;&gt;"",SUMIF($D$5:$D$55,K24,$C$5:$C$55)+SUMIF($D$5:$D$55,K24,$B$5:$B$55),"")</f>
        <v/>
      </c>
    </row>
    <row r="25" customFormat="false" ht="13.8" hidden="false" customHeight="false" outlineLevel="0" collapsed="false">
      <c r="A25" s="28"/>
      <c r="B25" s="19"/>
      <c r="C25" s="20"/>
      <c r="D25" s="21"/>
      <c r="E25" s="22" t="str">
        <f aca="false">IF(F25="X",E24+C25+B25,"")</f>
        <v/>
      </c>
      <c r="F25" s="23"/>
      <c r="K25" s="26"/>
      <c r="L25" s="22"/>
    </row>
    <row r="26" customFormat="false" ht="13.8" hidden="false" customHeight="false" outlineLevel="0" collapsed="false">
      <c r="A26" s="28"/>
      <c r="B26" s="19"/>
      <c r="C26" s="20"/>
      <c r="D26" s="21"/>
      <c r="E26" s="22" t="str">
        <f aca="false">IF(F26="X",E25+C26+B26,"")</f>
        <v/>
      </c>
      <c r="F26" s="23"/>
      <c r="K26" s="26"/>
      <c r="L26" s="22"/>
    </row>
    <row r="27" customFormat="false" ht="13.8" hidden="false" customHeight="false" outlineLevel="0" collapsed="false">
      <c r="A27" s="28"/>
      <c r="B27" s="19"/>
      <c r="C27" s="20"/>
      <c r="D27" s="21"/>
      <c r="E27" s="22" t="str">
        <f aca="false">IF(F27="X",E26+C27+B27,"")</f>
        <v/>
      </c>
      <c r="F27" s="23"/>
      <c r="K27" s="26"/>
      <c r="L27" s="22"/>
    </row>
    <row r="28" customFormat="false" ht="13.8" hidden="false" customHeight="false" outlineLevel="0" collapsed="false">
      <c r="A28" s="28"/>
      <c r="B28" s="19"/>
      <c r="C28" s="20"/>
      <c r="D28" s="21"/>
      <c r="E28" s="22" t="str">
        <f aca="false">IF(F28="X",E27+C28+B28,"")</f>
        <v/>
      </c>
      <c r="F28" s="23"/>
      <c r="K28" s="26"/>
      <c r="L28" s="22"/>
    </row>
    <row r="29" customFormat="false" ht="13.8" hidden="false" customHeight="false" outlineLevel="0" collapsed="false">
      <c r="A29" s="28"/>
      <c r="B29" s="19"/>
      <c r="C29" s="20"/>
      <c r="D29" s="21"/>
      <c r="E29" s="22" t="str">
        <f aca="false">IF(F29="X",E28+C29+B29,"")</f>
        <v/>
      </c>
      <c r="F29" s="23"/>
      <c r="K29" s="26"/>
      <c r="L29" s="22"/>
    </row>
    <row r="30" customFormat="false" ht="13.8" hidden="false" customHeight="false" outlineLevel="0" collapsed="false">
      <c r="A30" s="28"/>
      <c r="B30" s="19"/>
      <c r="C30" s="20"/>
      <c r="D30" s="21"/>
      <c r="E30" s="22" t="str">
        <f aca="false">IF(F30="X",E29+C30+B30,"")</f>
        <v/>
      </c>
      <c r="F30" s="23"/>
      <c r="K30" s="26"/>
      <c r="L30" s="22"/>
    </row>
    <row r="31" customFormat="false" ht="13.8" hidden="false" customHeight="false" outlineLevel="0" collapsed="false">
      <c r="A31" s="28"/>
      <c r="B31" s="19"/>
      <c r="C31" s="20"/>
      <c r="D31" s="21"/>
      <c r="E31" s="22" t="str">
        <f aca="false">IF(F31="X",E30+C31+B31,"")</f>
        <v/>
      </c>
      <c r="F31" s="23"/>
      <c r="K31" s="26"/>
      <c r="L31" s="22"/>
    </row>
    <row r="32" customFormat="false" ht="13.8" hidden="false" customHeight="false" outlineLevel="0" collapsed="false">
      <c r="A32" s="18"/>
      <c r="B32" s="19"/>
      <c r="C32" s="20"/>
      <c r="D32" s="21"/>
      <c r="E32" s="22" t="str">
        <f aca="false">IF(F32="X",E31+C32+B32,"")</f>
        <v/>
      </c>
      <c r="F32" s="23"/>
      <c r="K32" s="26"/>
      <c r="L32" s="22"/>
    </row>
    <row r="33" customFormat="false" ht="13.8" hidden="false" customHeight="false" outlineLevel="0" collapsed="false">
      <c r="A33" s="28"/>
      <c r="B33" s="19"/>
      <c r="C33" s="20"/>
      <c r="D33" s="21"/>
      <c r="E33" s="22" t="str">
        <f aca="false">IF(F33="X",E32+C33+B33,"")</f>
        <v/>
      </c>
      <c r="F33" s="23"/>
      <c r="K33" s="26"/>
      <c r="L33" s="22"/>
    </row>
    <row r="34" customFormat="false" ht="13.8" hidden="false" customHeight="false" outlineLevel="0" collapsed="false">
      <c r="A34" s="28"/>
      <c r="B34" s="19"/>
      <c r="C34" s="20"/>
      <c r="D34" s="21"/>
      <c r="E34" s="22" t="str">
        <f aca="false">IF(F34="X",E33+C34+B34,"")</f>
        <v/>
      </c>
      <c r="F34" s="23"/>
      <c r="K34" s="26"/>
      <c r="L34" s="22"/>
    </row>
    <row r="35" customFormat="false" ht="13.8" hidden="false" customHeight="false" outlineLevel="0" collapsed="false">
      <c r="A35" s="28"/>
      <c r="B35" s="19"/>
      <c r="C35" s="20"/>
      <c r="D35" s="21"/>
      <c r="E35" s="22" t="str">
        <f aca="false">IF(F35="X",E34+C35+B35,"")</f>
        <v/>
      </c>
      <c r="F35" s="27"/>
      <c r="K35" s="26"/>
      <c r="L35" s="22" t="str">
        <f aca="false">IF(Tableau732328[[#This Row],[PRATIQUE]]&lt;&gt;"",SUMIF($D$5:$D$16,K35,$C$5:$C$16)+SUMIF($D$5:$D$16,K35,$B$5:$B$16),"")</f>
        <v/>
      </c>
    </row>
    <row r="36" customFormat="false" ht="13.8" hidden="false" customHeight="false" outlineLevel="0" collapsed="false">
      <c r="A36" s="28"/>
      <c r="B36" s="19"/>
      <c r="C36" s="20"/>
      <c r="D36" s="21"/>
      <c r="E36" s="22" t="str">
        <f aca="false">IF(F36="X",E35+C36+B36,"")</f>
        <v/>
      </c>
      <c r="F36" s="27"/>
      <c r="K36" s="26"/>
      <c r="L36" s="22" t="str">
        <f aca="false">IF(Tableau732328[[#This Row],[PRATIQUE]]&lt;&gt;"",SUMIF($D$5:$D$16,K36,$C$5:$C$16)+SUMIF($D$5:$D$16,K36,$B$5:$B$16),"")</f>
        <v/>
      </c>
    </row>
    <row r="37" customFormat="false" ht="13.8" hidden="false" customHeight="false" outlineLevel="0" collapsed="false">
      <c r="A37" s="28"/>
      <c r="B37" s="19"/>
      <c r="C37" s="20"/>
      <c r="D37" s="21"/>
      <c r="E37" s="22" t="str">
        <f aca="false">IF(F37="X",E36+C37+B37,"")</f>
        <v/>
      </c>
      <c r="F37" s="23"/>
      <c r="K37" s="26"/>
      <c r="L37" s="22" t="str">
        <f aca="false">IF(Tableau732328[[#This Row],[PRATIQUE]]&lt;&gt;"",SUMIF($D$5:$D$16,K37,$C$5:$C$16)+SUMIF($D$5:$D$16,K37,$B$5:$B$16),"")</f>
        <v/>
      </c>
    </row>
    <row r="38" customFormat="false" ht="13.8" hidden="false" customHeight="false" outlineLevel="0" collapsed="false">
      <c r="A38" s="28"/>
      <c r="B38" s="19"/>
      <c r="C38" s="20"/>
      <c r="D38" s="21"/>
      <c r="E38" s="22" t="str">
        <f aca="false">IF(F38="X",E37+C38+B38,"")</f>
        <v/>
      </c>
      <c r="F38" s="27"/>
      <c r="K38" s="26"/>
      <c r="L38" s="22" t="str">
        <f aca="false">IF(Tableau732328[[#This Row],[PRATIQUE]]&lt;&gt;"",SUMIF($D$5:$D$16,K38,$C$5:$C$16)+SUMIF($D$5:$D$16,K38,$B$5:$B$16),"")</f>
        <v/>
      </c>
    </row>
    <row r="39" customFormat="false" ht="13.8" hidden="false" customHeight="false" outlineLevel="0" collapsed="false">
      <c r="A39" s="28"/>
      <c r="B39" s="19"/>
      <c r="C39" s="20"/>
      <c r="D39" s="21"/>
      <c r="E39" s="22" t="str">
        <f aca="false">IF(F39="X",E38+C39+B39,"")</f>
        <v/>
      </c>
      <c r="F39" s="23"/>
      <c r="K39" s="26"/>
      <c r="L39" s="22" t="str">
        <f aca="false">IF(Tableau732328[[#This Row],[PRATIQUE]]&lt;&gt;"",SUMIF($D$5:$D$16,K39,$C$5:$C$16)+SUMIF($D$5:$D$16,K39,$B$5:$B$16),"")</f>
        <v/>
      </c>
    </row>
    <row r="40" customFormat="false" ht="13.8" hidden="false" customHeight="false" outlineLevel="0" collapsed="false">
      <c r="A40" s="28"/>
      <c r="B40" s="19"/>
      <c r="C40" s="20"/>
      <c r="D40" s="21"/>
      <c r="E40" s="22" t="str">
        <f aca="false">IF(F40="X",#REF!+C40+B40,"")</f>
        <v/>
      </c>
      <c r="F40" s="23"/>
      <c r="K40" s="32"/>
      <c r="L40" s="32"/>
    </row>
    <row r="41" customFormat="false" ht="13.8" hidden="false" customHeight="false" outlineLevel="0" collapsed="false">
      <c r="A41" s="28"/>
      <c r="B41" s="19"/>
      <c r="C41" s="20"/>
      <c r="D41" s="21"/>
      <c r="E41" s="22" t="str">
        <f aca="false">IF(F41="X",E40+C41+B41,"")</f>
        <v/>
      </c>
      <c r="F41" s="23"/>
      <c r="K41" s="34"/>
      <c r="L41" s="29" t="str">
        <f aca="false">IF(Tableau732328[[#This Row],[PRATIQUE]]&lt;&gt;"",SUMIF($D$5:$D$16,K41,$C$5:$C$16)+SUMIF($D$5:$D$16,K41,$B$5:$B$16),"")</f>
        <v/>
      </c>
    </row>
    <row r="42" customFormat="false" ht="13.8" hidden="false" customHeight="false" outlineLevel="0" collapsed="false">
      <c r="A42" s="28"/>
      <c r="B42" s="19"/>
      <c r="C42" s="20"/>
      <c r="D42" s="21"/>
      <c r="E42" s="22" t="str">
        <f aca="false">IF(F42="X",E41+C42+B42,"")</f>
        <v/>
      </c>
      <c r="F42" s="27"/>
      <c r="K42" s="34" t="s">
        <v>46</v>
      </c>
      <c r="L42" s="34"/>
    </row>
    <row r="43" customFormat="false" ht="13.8" hidden="false" customHeight="false" outlineLevel="0" collapsed="false">
      <c r="A43" s="28"/>
      <c r="B43" s="19"/>
      <c r="C43" s="20"/>
      <c r="D43" s="21"/>
      <c r="E43" s="22" t="str">
        <f aca="false">IF(F43="X",E42+C43+B43,"")</f>
        <v/>
      </c>
      <c r="F43" s="27"/>
      <c r="K43" s="54" t="s">
        <v>42</v>
      </c>
      <c r="L43" s="55" t="n">
        <f aca="false">I1+L42</f>
        <v>2200</v>
      </c>
    </row>
    <row r="44" customFormat="false" ht="13.8" hidden="false" customHeight="false" outlineLevel="0" collapsed="false">
      <c r="A44" s="28"/>
      <c r="B44" s="19"/>
      <c r="C44" s="20"/>
      <c r="D44" s="21"/>
      <c r="E44" s="22" t="str">
        <f aca="false">IF(F44="X",E43+C44+B44,"")</f>
        <v/>
      </c>
      <c r="F44" s="27"/>
      <c r="K44" s="41"/>
      <c r="L44" s="42"/>
    </row>
    <row r="45" customFormat="false" ht="13.8" hidden="false" customHeight="false" outlineLevel="0" collapsed="false">
      <c r="A45" s="28"/>
      <c r="B45" s="19"/>
      <c r="C45" s="20"/>
      <c r="D45" s="21"/>
      <c r="E45" s="22" t="str">
        <f aca="false">IF(F45="X",E44+C45+B45,"")</f>
        <v/>
      </c>
      <c r="F45" s="27"/>
    </row>
    <row r="46" customFormat="false" ht="13.8" hidden="false" customHeight="false" outlineLevel="0" collapsed="false">
      <c r="A46" s="28"/>
      <c r="B46" s="19"/>
      <c r="C46" s="20"/>
      <c r="D46" s="21"/>
      <c r="E46" s="22" t="str">
        <f aca="false">IF(F46="X",E45+C46+B46,"")</f>
        <v/>
      </c>
      <c r="F46" s="27"/>
    </row>
    <row r="47" customFormat="false" ht="13.8" hidden="false" customHeight="false" outlineLevel="0" collapsed="false">
      <c r="A47" s="28"/>
      <c r="B47" s="19"/>
      <c r="C47" s="20"/>
      <c r="D47" s="21"/>
      <c r="E47" s="22" t="str">
        <f aca="false">IF(F47="X",E46+C47+B47,"")</f>
        <v/>
      </c>
      <c r="F47" s="27"/>
    </row>
    <row r="48" customFormat="false" ht="13.8" hidden="false" customHeight="false" outlineLevel="0" collapsed="false">
      <c r="A48" s="28"/>
      <c r="B48" s="19"/>
      <c r="C48" s="20"/>
      <c r="D48" s="21"/>
      <c r="E48" s="22" t="str">
        <f aca="false">IF(F48="X",E47+C48+B48,"")</f>
        <v/>
      </c>
      <c r="F48" s="27"/>
    </row>
    <row r="49" customFormat="false" ht="13.8" hidden="false" customHeight="false" outlineLevel="0" collapsed="false">
      <c r="A49" s="56"/>
      <c r="B49" s="19"/>
      <c r="C49" s="20"/>
      <c r="D49" s="21"/>
      <c r="E49" s="22" t="str">
        <f aca="false">IF(F49="X",E48+C49+B49,"")</f>
        <v/>
      </c>
      <c r="F49" s="57"/>
    </row>
    <row r="50" customFormat="false" ht="13.8" hidden="false" customHeight="false" outlineLevel="0" collapsed="false">
      <c r="A50" s="56"/>
      <c r="B50" s="19"/>
      <c r="C50" s="20"/>
      <c r="D50" s="21"/>
      <c r="E50" s="22" t="str">
        <f aca="false">IF(F50="X",E49+C50+B50,"")</f>
        <v/>
      </c>
      <c r="F50" s="57"/>
    </row>
    <row r="51" customFormat="false" ht="13.8" hidden="false" customHeight="false" outlineLevel="0" collapsed="false">
      <c r="A51" s="58"/>
      <c r="B51" s="19"/>
      <c r="C51" s="20"/>
      <c r="D51" s="21"/>
      <c r="E51" s="22" t="str">
        <f aca="false">IF(F51="X",E50+C51+B51,"")</f>
        <v/>
      </c>
      <c r="F51" s="57"/>
    </row>
    <row r="52" customFormat="false" ht="13.8" hidden="false" customHeight="false" outlineLevel="0" collapsed="false">
      <c r="A52" s="58"/>
      <c r="B52" s="19"/>
      <c r="C52" s="20"/>
      <c r="D52" s="21"/>
      <c r="E52" s="22" t="str">
        <f aca="false">IF(F52="X",E51+C52+B52,"")</f>
        <v/>
      </c>
      <c r="F52" s="57"/>
    </row>
    <row r="53" customFormat="false" ht="13.8" hidden="false" customHeight="false" outlineLevel="0" collapsed="false">
      <c r="A53" s="59"/>
      <c r="B53" s="60"/>
      <c r="C53" s="61"/>
      <c r="D53" s="62"/>
      <c r="E53" s="22" t="str">
        <f aca="false">IF(F53="X",E52+C53+B53,"")</f>
        <v/>
      </c>
      <c r="F53" s="63"/>
    </row>
    <row r="57" customFormat="false" ht="13.8" hidden="false" customHeight="false" outlineLevel="0" collapsed="false">
      <c r="J57" s="36"/>
    </row>
    <row r="1048575" customFormat="false" ht="12.8" hidden="false" customHeight="false" outlineLevel="0" collapsed="false"/>
    <row r="1048576" customFormat="false" ht="12.8" hidden="false" customHeight="false" outlineLevel="0" collapsed="false"/>
  </sheetData>
  <mergeCells count="1">
    <mergeCell ref="K42:L42"/>
  </mergeCells>
  <conditionalFormatting sqref="L27:L30">
    <cfRule type="cellIs" priority="2" operator="lessThan" aboveAverage="0" equalAverage="0" bottom="0" percent="0" rank="0" text="" dxfId="299">
      <formula>0</formula>
    </cfRule>
    <cfRule type="cellIs" priority="3" operator="greaterThan" aboveAverage="0" equalAverage="0" bottom="0" percent="0" rank="0" text="" dxfId="300">
      <formula>0</formula>
    </cfRule>
    <cfRule type="cellIs" priority="4" operator="lessThan" aboveAverage="0" equalAverage="0" bottom="0" percent="0" rank="0" text="" dxfId="301">
      <formula>0</formula>
    </cfRule>
    <cfRule type="cellIs" priority="5" operator="greaterThan" aboveAverage="0" equalAverage="0" bottom="0" percent="0" rank="0" text="" dxfId="302">
      <formula>0</formula>
    </cfRule>
  </conditionalFormatting>
  <conditionalFormatting sqref="L41:L42">
    <cfRule type="cellIs" priority="6" operator="greaterThan" aboveAverage="0" equalAverage="0" bottom="0" percent="0" rank="0" text="" dxfId="303">
      <formula>0</formula>
    </cfRule>
    <cfRule type="cellIs" priority="7" operator="lessThan" aboveAverage="0" equalAverage="0" bottom="0" percent="0" rank="0" text="" dxfId="304">
      <formula>0</formula>
    </cfRule>
  </conditionalFormatting>
  <conditionalFormatting sqref="K36">
    <cfRule type="expression" priority="8" aboveAverage="0" equalAverage="0" bottom="0" percent="0" rank="0" text="" dxfId="305">
      <formula>L36&gt;0</formula>
    </cfRule>
    <cfRule type="expression" priority="9" aboveAverage="0" equalAverage="0" bottom="0" percent="0" rank="0" text="" dxfId="306">
      <formula>L36&lt;0</formula>
    </cfRule>
  </conditionalFormatting>
  <conditionalFormatting sqref="K35">
    <cfRule type="expression" priority="10" aboveAverage="0" equalAverage="0" bottom="0" percent="0" rank="0" text="" dxfId="307">
      <formula>L35&gt;0</formula>
    </cfRule>
    <cfRule type="expression" priority="11" aboveAverage="0" equalAverage="0" bottom="0" percent="0" rank="0" text="" dxfId="308">
      <formula>L35&lt;0</formula>
    </cfRule>
  </conditionalFormatting>
  <conditionalFormatting sqref="K34">
    <cfRule type="expression" priority="12" aboveAverage="0" equalAverage="0" bottom="0" percent="0" rank="0" text="" dxfId="309">
      <formula>L34&gt;0</formula>
    </cfRule>
    <cfRule type="expression" priority="13" aboveAverage="0" equalAverage="0" bottom="0" percent="0" rank="0" text="" dxfId="310">
      <formula>L34&lt;0</formula>
    </cfRule>
  </conditionalFormatting>
  <conditionalFormatting sqref="K33">
    <cfRule type="expression" priority="14" aboveAverage="0" equalAverage="0" bottom="0" percent="0" rank="0" text="" dxfId="311">
      <formula>L33&gt;0</formula>
    </cfRule>
    <cfRule type="expression" priority="15" aboveAverage="0" equalAverage="0" bottom="0" percent="0" rank="0" text="" dxfId="312">
      <formula>L33&lt;0</formula>
    </cfRule>
  </conditionalFormatting>
  <conditionalFormatting sqref="K32">
    <cfRule type="expression" priority="16" aboveAverage="0" equalAverage="0" bottom="0" percent="0" rank="0" text="" dxfId="313">
      <formula>L32&gt;0</formula>
    </cfRule>
    <cfRule type="expression" priority="17" aboveAverage="0" equalAverage="0" bottom="0" percent="0" rank="0" text="" dxfId="314">
      <formula>L32&lt;0</formula>
    </cfRule>
  </conditionalFormatting>
  <conditionalFormatting sqref="K31">
    <cfRule type="expression" priority="18" aboveAverage="0" equalAverage="0" bottom="0" percent="0" rank="0" text="" dxfId="315">
      <formula>L31&gt;0</formula>
    </cfRule>
    <cfRule type="expression" priority="19" aboveAverage="0" equalAverage="0" bottom="0" percent="0" rank="0" text="" dxfId="316">
      <formula>L31&lt;0</formula>
    </cfRule>
  </conditionalFormatting>
  <conditionalFormatting sqref="K30">
    <cfRule type="expression" priority="20" aboveAverage="0" equalAverage="0" bottom="0" percent="0" rank="0" text="" dxfId="317">
      <formula>L30&gt;0</formula>
    </cfRule>
    <cfRule type="expression" priority="21" aboveAverage="0" equalAverage="0" bottom="0" percent="0" rank="0" text="" dxfId="318">
      <formula>L30&lt;0</formula>
    </cfRule>
  </conditionalFormatting>
  <conditionalFormatting sqref="K29">
    <cfRule type="expression" priority="22" aboveAverage="0" equalAverage="0" bottom="0" percent="0" rank="0" text="" dxfId="319">
      <formula>L29&gt;0</formula>
    </cfRule>
    <cfRule type="expression" priority="23" aboveAverage="0" equalAverage="0" bottom="0" percent="0" rank="0" text="" dxfId="320">
      <formula>L29&lt;0</formula>
    </cfRule>
  </conditionalFormatting>
  <conditionalFormatting sqref="K28">
    <cfRule type="expression" priority="24" aboveAverage="0" equalAverage="0" bottom="0" percent="0" rank="0" text="" dxfId="321">
      <formula>L28&gt;0</formula>
    </cfRule>
    <cfRule type="expression" priority="25" aboveAverage="0" equalAverage="0" bottom="0" percent="0" rank="0" text="" dxfId="322">
      <formula>L28&lt;0</formula>
    </cfRule>
  </conditionalFormatting>
  <conditionalFormatting sqref="K27">
    <cfRule type="expression" priority="26" aboveAverage="0" equalAverage="0" bottom="0" percent="0" rank="0" text="" dxfId="323">
      <formula>L27&gt;0</formula>
    </cfRule>
    <cfRule type="expression" priority="27" aboveAverage="0" equalAverage="0" bottom="0" percent="0" rank="0" text="" dxfId="324">
      <formula>L27&lt;0</formula>
    </cfRule>
  </conditionalFormatting>
  <conditionalFormatting sqref="K26">
    <cfRule type="expression" priority="28" aboveAverage="0" equalAverage="0" bottom="0" percent="0" rank="0" text="" dxfId="325">
      <formula>L26&gt;0</formula>
    </cfRule>
    <cfRule type="expression" priority="29" aboveAverage="0" equalAverage="0" bottom="0" percent="0" rank="0" text="" dxfId="326">
      <formula>L26&lt;0</formula>
    </cfRule>
  </conditionalFormatting>
  <conditionalFormatting sqref="K25">
    <cfRule type="expression" priority="30" aboveAverage="0" equalAverage="0" bottom="0" percent="0" rank="0" text="" dxfId="327">
      <formula>L25&gt;0</formula>
    </cfRule>
    <cfRule type="expression" priority="31" aboveAverage="0" equalAverage="0" bottom="0" percent="0" rank="0" text="" dxfId="328">
      <formula>L25&lt;0</formula>
    </cfRule>
  </conditionalFormatting>
  <conditionalFormatting sqref="K24">
    <cfRule type="expression" priority="32" aboveAverage="0" equalAverage="0" bottom="0" percent="0" rank="0" text="" dxfId="329">
      <formula>L24&gt;0</formula>
    </cfRule>
    <cfRule type="expression" priority="33" aboveAverage="0" equalAverage="0" bottom="0" percent="0" rank="0" text="" dxfId="330">
      <formula>L24&lt;0</formula>
    </cfRule>
  </conditionalFormatting>
  <conditionalFormatting sqref="K23">
    <cfRule type="expression" priority="34" aboveAverage="0" equalAverage="0" bottom="0" percent="0" rank="0" text="" dxfId="331">
      <formula>L23&gt;0</formula>
    </cfRule>
    <cfRule type="expression" priority="35" aboveAverage="0" equalAverage="0" bottom="0" percent="0" rank="0" text="" dxfId="332">
      <formula>L23&lt;0</formula>
    </cfRule>
  </conditionalFormatting>
  <conditionalFormatting sqref="K22">
    <cfRule type="expression" priority="36" aboveAverage="0" equalAverage="0" bottom="0" percent="0" rank="0" text="" dxfId="333">
      <formula>L22&gt;0</formula>
    </cfRule>
    <cfRule type="expression" priority="37" aboveAverage="0" equalAverage="0" bottom="0" percent="0" rank="0" text="" dxfId="334">
      <formula>L22&lt;0</formula>
    </cfRule>
  </conditionalFormatting>
  <conditionalFormatting sqref="K21">
    <cfRule type="expression" priority="38" aboveAverage="0" equalAverage="0" bottom="0" percent="0" rank="0" text="" dxfId="335">
      <formula>L21&gt;0</formula>
    </cfRule>
    <cfRule type="expression" priority="39" aboveAverage="0" equalAverage="0" bottom="0" percent="0" rank="0" text="" dxfId="336">
      <formula>L21&lt;0</formula>
    </cfRule>
  </conditionalFormatting>
  <conditionalFormatting sqref="K20">
    <cfRule type="expression" priority="40" aboveAverage="0" equalAverage="0" bottom="0" percent="0" rank="0" text="" dxfId="337">
      <formula>L20&gt;0</formula>
    </cfRule>
    <cfRule type="expression" priority="41" aboveAverage="0" equalAverage="0" bottom="0" percent="0" rank="0" text="" dxfId="338">
      <formula>L20&lt;0</formula>
    </cfRule>
  </conditionalFormatting>
  <conditionalFormatting sqref="K19">
    <cfRule type="expression" priority="42" aboveAverage="0" equalAverage="0" bottom="0" percent="0" rank="0" text="" dxfId="339">
      <formula>L19&gt;0</formula>
    </cfRule>
    <cfRule type="expression" priority="43" aboveAverage="0" equalAverage="0" bottom="0" percent="0" rank="0" text="" dxfId="340">
      <formula>L19&lt;0</formula>
    </cfRule>
  </conditionalFormatting>
  <conditionalFormatting sqref="K18">
    <cfRule type="expression" priority="44" aboveAverage="0" equalAverage="0" bottom="0" percent="0" rank="0" text="" dxfId="341">
      <formula>L18&gt;0</formula>
    </cfRule>
    <cfRule type="expression" priority="45" aboveAverage="0" equalAverage="0" bottom="0" percent="0" rank="0" text="" dxfId="342">
      <formula>L18&lt;0</formula>
    </cfRule>
  </conditionalFormatting>
  <conditionalFormatting sqref="K16">
    <cfRule type="expression" priority="46" aboveAverage="0" equalAverage="0" bottom="0" percent="0" rank="0" text="" dxfId="343">
      <formula>L16&gt;0</formula>
    </cfRule>
    <cfRule type="expression" priority="47" aboveAverage="0" equalAverage="0" bottom="0" percent="0" rank="0" text="" dxfId="344">
      <formula>L16&lt;0</formula>
    </cfRule>
  </conditionalFormatting>
  <conditionalFormatting sqref="K15">
    <cfRule type="expression" priority="48" aboveAverage="0" equalAverage="0" bottom="0" percent="0" rank="0" text="" dxfId="345">
      <formula>L15&gt;0</formula>
    </cfRule>
    <cfRule type="expression" priority="49" aboveAverage="0" equalAverage="0" bottom="0" percent="0" rank="0" text="" dxfId="346">
      <formula>L15&lt;0</formula>
    </cfRule>
  </conditionalFormatting>
  <conditionalFormatting sqref="K14">
    <cfRule type="expression" priority="50" aboveAverage="0" equalAverage="0" bottom="0" percent="0" rank="0" text="" dxfId="347">
      <formula>L14&gt;0</formula>
    </cfRule>
    <cfRule type="expression" priority="51" aboveAverage="0" equalAverage="0" bottom="0" percent="0" rank="0" text="" dxfId="348">
      <formula>L14&lt;0</formula>
    </cfRule>
  </conditionalFormatting>
  <conditionalFormatting sqref="K13">
    <cfRule type="expression" priority="52" aboveAverage="0" equalAverage="0" bottom="0" percent="0" rank="0" text="" dxfId="349">
      <formula>L13&gt;0</formula>
    </cfRule>
    <cfRule type="expression" priority="53" aboveAverage="0" equalAverage="0" bottom="0" percent="0" rank="0" text="" dxfId="350">
      <formula>L13&lt;0</formula>
    </cfRule>
  </conditionalFormatting>
  <conditionalFormatting sqref="K12">
    <cfRule type="expression" priority="54" aboveAverage="0" equalAverage="0" bottom="0" percent="0" rank="0" text="" dxfId="351">
      <formula>L12&gt;0</formula>
    </cfRule>
    <cfRule type="expression" priority="55" aboveAverage="0" equalAverage="0" bottom="0" percent="0" rank="0" text="" dxfId="352">
      <formula>L12&lt;0</formula>
    </cfRule>
  </conditionalFormatting>
  <conditionalFormatting sqref="K11">
    <cfRule type="expression" priority="56" aboveAverage="0" equalAverage="0" bottom="0" percent="0" rank="0" text="" dxfId="353">
      <formula>L11&gt;0</formula>
    </cfRule>
    <cfRule type="expression" priority="57" aboveAverage="0" equalAverage="0" bottom="0" percent="0" rank="0" text="" dxfId="354">
      <formula>L11&lt;0</formula>
    </cfRule>
  </conditionalFormatting>
  <conditionalFormatting sqref="K10">
    <cfRule type="expression" priority="58" aboveAverage="0" equalAverage="0" bottom="0" percent="0" rank="0" text="" dxfId="355">
      <formula>L10&gt;0</formula>
    </cfRule>
    <cfRule type="expression" priority="59" aboveAverage="0" equalAverage="0" bottom="0" percent="0" rank="0" text="" dxfId="356">
      <formula>L10&lt;0</formula>
    </cfRule>
  </conditionalFormatting>
  <conditionalFormatting sqref="K9">
    <cfRule type="expression" priority="60" aboveAverage="0" equalAverage="0" bottom="0" percent="0" rank="0" text="" dxfId="357">
      <formula>L9&gt;0</formula>
    </cfRule>
    <cfRule type="expression" priority="61" aboveAverage="0" equalAverage="0" bottom="0" percent="0" rank="0" text="" dxfId="358">
      <formula>L9&lt;0</formula>
    </cfRule>
  </conditionalFormatting>
  <conditionalFormatting sqref="K8">
    <cfRule type="expression" priority="62" aboveAverage="0" equalAverage="0" bottom="0" percent="0" rank="0" text="" dxfId="359">
      <formula>L8&gt;0</formula>
    </cfRule>
    <cfRule type="expression" priority="63" aboveAverage="0" equalAverage="0" bottom="0" percent="0" rank="0" text="" dxfId="360">
      <formula>L8&lt;0</formula>
    </cfRule>
  </conditionalFormatting>
  <conditionalFormatting sqref="K7">
    <cfRule type="expression" priority="64" aboveAverage="0" equalAverage="0" bottom="0" percent="0" rank="0" text="" dxfId="361">
      <formula>L7&gt;0</formula>
    </cfRule>
    <cfRule type="expression" priority="65" aboveAverage="0" equalAverage="0" bottom="0" percent="0" rank="0" text="" dxfId="362">
      <formula>L7&lt;0</formula>
    </cfRule>
  </conditionalFormatting>
  <conditionalFormatting sqref="K6">
    <cfRule type="expression" priority="66" aboveAverage="0" equalAverage="0" bottom="0" percent="0" rank="0" text="" dxfId="363">
      <formula>L6&gt;0</formula>
    </cfRule>
    <cfRule type="expression" priority="67" aboveAverage="0" equalAverage="0" bottom="0" percent="0" rank="0" text="" dxfId="364">
      <formula>L6&lt;0</formula>
    </cfRule>
  </conditionalFormatting>
  <conditionalFormatting sqref="K5">
    <cfRule type="expression" priority="68" aboveAverage="0" equalAverage="0" bottom="0" percent="0" rank="0" text="" dxfId="365">
      <formula>L5&gt;0</formula>
    </cfRule>
    <cfRule type="expression" priority="69" aboveAverage="0" equalAverage="0" bottom="0" percent="0" rank="0" text="" dxfId="366">
      <formula>L5&lt;0</formula>
    </cfRule>
  </conditionalFormatting>
  <conditionalFormatting sqref="K39">
    <cfRule type="expression" priority="70" aboveAverage="0" equalAverage="0" bottom="0" percent="0" rank="0" text="" dxfId="367">
      <formula>L44&lt;0</formula>
    </cfRule>
    <cfRule type="expression" priority="71" aboveAverage="0" equalAverage="0" bottom="0" percent="0" rank="0" text="" dxfId="368">
      <formula>L44&gt;0</formula>
    </cfRule>
  </conditionalFormatting>
  <conditionalFormatting sqref="K38">
    <cfRule type="expression" priority="72" aboveAverage="0" equalAverage="0" bottom="0" percent="0" rank="0" text="" dxfId="369">
      <formula>L43&lt;0</formula>
    </cfRule>
    <cfRule type="expression" priority="73" aboveAverage="0" equalAverage="0" bottom="0" percent="0" rank="0" text="" dxfId="370">
      <formula>L43&gt;0</formula>
    </cfRule>
  </conditionalFormatting>
  <conditionalFormatting sqref="K37">
    <cfRule type="expression" priority="74" aboveAverage="0" equalAverage="0" bottom="0" percent="0" rank="0" text="" dxfId="371">
      <formula>L42&lt;0</formula>
    </cfRule>
    <cfRule type="expression" priority="75" aboveAverage="0" equalAverage="0" bottom="0" percent="0" rank="0" text="" dxfId="372">
      <formula>L42&gt;0</formula>
    </cfRule>
  </conditionalFormatting>
  <conditionalFormatting sqref="L29:L30">
    <cfRule type="cellIs" priority="76" operator="lessThan" aboveAverage="0" equalAverage="0" bottom="0" percent="0" rank="0" text="" dxfId="373">
      <formula>0</formula>
    </cfRule>
    <cfRule type="cellIs" priority="77" operator="greaterThan" aboveAverage="0" equalAverage="0" bottom="0" percent="0" rank="0" text="" dxfId="374">
      <formula>0</formula>
    </cfRule>
  </conditionalFormatting>
  <conditionalFormatting sqref="L28:L30">
    <cfRule type="cellIs" priority="78" operator="lessThan" aboveAverage="0" equalAverage="0" bottom="0" percent="0" rank="0" text="" dxfId="375">
      <formula>0</formula>
    </cfRule>
    <cfRule type="cellIs" priority="79" operator="greaterThan" aboveAverage="0" equalAverage="0" bottom="0" percent="0" rank="0" text="" dxfId="376">
      <formula>0</formula>
    </cfRule>
  </conditionalFormatting>
  <conditionalFormatting sqref="L27">
    <cfRule type="cellIs" priority="80" operator="lessThan" aboveAverage="0" equalAverage="0" bottom="0" percent="0" rank="0" text="" dxfId="377">
      <formula>0</formula>
    </cfRule>
    <cfRule type="cellIs" priority="81" operator="greaterThan" aboveAverage="0" equalAverage="0" bottom="0" percent="0" rank="0" text="" dxfId="378">
      <formula>0</formula>
    </cfRule>
  </conditionalFormatting>
  <conditionalFormatting sqref="L26">
    <cfRule type="cellIs" priority="82" operator="lessThan" aboveAverage="0" equalAverage="0" bottom="0" percent="0" rank="0" text="" dxfId="379">
      <formula>0</formula>
    </cfRule>
    <cfRule type="cellIs" priority="83" operator="greaterThan" aboveAverage="0" equalAverage="0" bottom="0" percent="0" rank="0" text="" dxfId="380">
      <formula>0</formula>
    </cfRule>
  </conditionalFormatting>
  <conditionalFormatting sqref="L25">
    <cfRule type="cellIs" priority="84" operator="lessThan" aboveAverage="0" equalAverage="0" bottom="0" percent="0" rank="0" text="" dxfId="381">
      <formula>0</formula>
    </cfRule>
    <cfRule type="cellIs" priority="85" operator="greaterThan" aboveAverage="0" equalAverage="0" bottom="0" percent="0" rank="0" text="" dxfId="382">
      <formula>0</formula>
    </cfRule>
  </conditionalFormatting>
  <conditionalFormatting sqref="L6:L43">
    <cfRule type="cellIs" priority="86" operator="greaterThan" aboveAverage="0" equalAverage="0" bottom="0" percent="0" rank="0" text="" dxfId="383">
      <formula>0</formula>
    </cfRule>
    <cfRule type="cellIs" priority="87" operator="lessThan" aboveAverage="0" equalAverage="0" bottom="0" percent="0" rank="0" text="" dxfId="384">
      <formula>0</formula>
    </cfRule>
  </conditionalFormatting>
  <conditionalFormatting sqref="L43">
    <cfRule type="cellIs" priority="88" operator="greaterThan" aboveAverage="0" equalAverage="0" bottom="0" percent="0" rank="0" text="" dxfId="385">
      <formula>0</formula>
    </cfRule>
    <cfRule type="expression" priority="89" aboveAverage="0" equalAverage="0" bottom="0" percent="0" rank="0" text="" dxfId="386">
      <formula>$L$5:$L$42&lt;0</formula>
    </cfRule>
  </conditionalFormatting>
  <conditionalFormatting sqref="L24">
    <cfRule type="cellIs" priority="90" operator="lessThan" aboveAverage="0" equalAverage="0" bottom="0" percent="0" rank="0" text="" dxfId="95">
      <formula>0</formula>
    </cfRule>
    <cfRule type="cellIs" priority="91" operator="greaterThan" aboveAverage="0" equalAverage="0" bottom="0" percent="0" rank="0" text="" dxfId="96">
      <formula>0</formula>
    </cfRule>
  </conditionalFormatting>
  <conditionalFormatting sqref="L23">
    <cfRule type="cellIs" priority="92" operator="lessThan" aboveAverage="0" equalAverage="0" bottom="0" percent="0" rank="0" text="" dxfId="97">
      <formula>0</formula>
    </cfRule>
    <cfRule type="cellIs" priority="93" operator="greaterThan" aboveAverage="0" equalAverage="0" bottom="0" percent="0" rank="0" text="" dxfId="98">
      <formula>0</formula>
    </cfRule>
  </conditionalFormatting>
  <conditionalFormatting sqref="L22">
    <cfRule type="cellIs" priority="94" operator="lessThan" aboveAverage="0" equalAverage="0" bottom="0" percent="0" rank="0" text="" dxfId="99">
      <formula>0</formula>
    </cfRule>
    <cfRule type="cellIs" priority="95" operator="greaterThan" aboveAverage="0" equalAverage="0" bottom="0" percent="0" rank="0" text="" dxfId="100">
      <formula>0</formula>
    </cfRule>
  </conditionalFormatting>
  <conditionalFormatting sqref="L21">
    <cfRule type="cellIs" priority="96" operator="lessThan" aboveAverage="0" equalAverage="0" bottom="0" percent="0" rank="0" text="" dxfId="101">
      <formula>0</formula>
    </cfRule>
    <cfRule type="cellIs" priority="97" operator="greaterThan" aboveAverage="0" equalAverage="0" bottom="0" percent="0" rank="0" text="" dxfId="102">
      <formula>0</formula>
    </cfRule>
  </conditionalFormatting>
  <conditionalFormatting sqref="L20">
    <cfRule type="cellIs" priority="98" operator="lessThan" aboveAverage="0" equalAverage="0" bottom="0" percent="0" rank="0" text="" dxfId="103">
      <formula>0</formula>
    </cfRule>
    <cfRule type="cellIs" priority="99" operator="greaterThan" aboveAverage="0" equalAverage="0" bottom="0" percent="0" rank="0" text="" dxfId="104">
      <formula>0</formula>
    </cfRule>
  </conditionalFormatting>
  <conditionalFormatting sqref="L13">
    <cfRule type="cellIs" priority="100" operator="lessThan" aboveAverage="0" equalAverage="0" bottom="0" percent="0" rank="0" text="" dxfId="105">
      <formula>0</formula>
    </cfRule>
    <cfRule type="cellIs" priority="101" operator="greaterThan" aboveAverage="0" equalAverage="0" bottom="0" percent="0" rank="0" text="" dxfId="106">
      <formula>0</formula>
    </cfRule>
  </conditionalFormatting>
  <conditionalFormatting sqref="L12">
    <cfRule type="cellIs" priority="102" operator="lessThan" aboveAverage="0" equalAverage="0" bottom="0" percent="0" rank="0" text="" dxfId="107">
      <formula>0</formula>
    </cfRule>
    <cfRule type="cellIs" priority="103" operator="greaterThan" aboveAverage="0" equalAverage="0" bottom="0" percent="0" rank="0" text="" dxfId="108">
      <formula>0</formula>
    </cfRule>
  </conditionalFormatting>
  <conditionalFormatting sqref="L11">
    <cfRule type="cellIs" priority="104" operator="lessThan" aboveAverage="0" equalAverage="0" bottom="0" percent="0" rank="0" text="" dxfId="109">
      <formula>0</formula>
    </cfRule>
    <cfRule type="cellIs" priority="105" operator="greaterThan" aboveAverage="0" equalAverage="0" bottom="0" percent="0" rank="0" text="" dxfId="110">
      <formula>0</formula>
    </cfRule>
  </conditionalFormatting>
  <conditionalFormatting sqref="L10">
    <cfRule type="cellIs" priority="106" operator="lessThan" aboveAverage="0" equalAverage="0" bottom="0" percent="0" rank="0" text="" dxfId="111">
      <formula>0</formula>
    </cfRule>
    <cfRule type="cellIs" priority="107" operator="greaterThan" aboveAverage="0" equalAverage="0" bottom="0" percent="0" rank="0" text="" dxfId="112">
      <formula>0</formula>
    </cfRule>
  </conditionalFormatting>
  <conditionalFormatting sqref="L9">
    <cfRule type="cellIs" priority="108" operator="lessThan" aboveAverage="0" equalAverage="0" bottom="0" percent="0" rank="0" text="" dxfId="113">
      <formula>0</formula>
    </cfRule>
    <cfRule type="cellIs" priority="109" operator="greaterThan" aboveAverage="0" equalAverage="0" bottom="0" percent="0" rank="0" text="" dxfId="114">
      <formula>0</formula>
    </cfRule>
  </conditionalFormatting>
  <conditionalFormatting sqref="L8">
    <cfRule type="cellIs" priority="110" operator="lessThan" aboveAverage="0" equalAverage="0" bottom="0" percent="0" rank="0" text="" dxfId="115">
      <formula>0</formula>
    </cfRule>
    <cfRule type="cellIs" priority="111" operator="greaterThan" aboveAverage="0" equalAverage="0" bottom="0" percent="0" rank="0" text="" dxfId="116">
      <formula>0</formula>
    </cfRule>
  </conditionalFormatting>
  <conditionalFormatting sqref="L7">
    <cfRule type="cellIs" priority="112" operator="lessThan" aboveAverage="0" equalAverage="0" bottom="0" percent="0" rank="0" text="" dxfId="117">
      <formula>0</formula>
    </cfRule>
    <cfRule type="cellIs" priority="113" operator="greaterThan" aboveAverage="0" equalAverage="0" bottom="0" percent="0" rank="0" text="" dxfId="118">
      <formula>0</formula>
    </cfRule>
  </conditionalFormatting>
  <conditionalFormatting sqref="L6">
    <cfRule type="cellIs" priority="114" operator="lessThan" aboveAverage="0" equalAverage="0" bottom="0" percent="0" rank="0" text="" dxfId="119">
      <formula>0</formula>
    </cfRule>
    <cfRule type="cellIs" priority="115" operator="greaterThan" aboveAverage="0" equalAverage="0" bottom="0" percent="0" rank="0" text="" dxfId="120">
      <formula>0</formula>
    </cfRule>
  </conditionalFormatting>
  <conditionalFormatting sqref="L5">
    <cfRule type="cellIs" priority="116" operator="lessThan" aboveAverage="0" equalAverage="0" bottom="0" percent="0" rank="0" text="" dxfId="121">
      <formula>0</formula>
    </cfRule>
    <cfRule type="cellIs" priority="117" operator="greaterThan" aboveAverage="0" equalAverage="0" bottom="0" percent="0" rank="0" text="" dxfId="122">
      <formula>0</formula>
    </cfRule>
  </conditionalFormatting>
  <conditionalFormatting sqref="L5:L24">
    <cfRule type="cellIs" priority="118" operator="greaterThan" aboveAverage="0" equalAverage="0" bottom="0" percent="0" rank="0" text="" dxfId="123">
      <formula>0</formula>
    </cfRule>
    <cfRule type="cellIs" priority="119" operator="lessThan" aboveAverage="0" equalAverage="0" bottom="0" percent="0" rank="0" text="" dxfId="124">
      <formula>0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048576"/>
  <sheetViews>
    <sheetView showFormulas="false" showGridLines="true" showRowColHeaders="true" showZeros="true" rightToLeft="false" tabSelected="false" showOutlineSymbols="true" defaultGridColor="true" view="normal" topLeftCell="A37" colorId="64" zoomScale="100" zoomScaleNormal="100" zoomScalePageLayoutView="100" workbookViewId="0">
      <selection pane="topLeft" activeCell="I2" activeCellId="0" sqref="I2"/>
    </sheetView>
  </sheetViews>
  <sheetFormatPr defaultColWidth="11.4453125" defaultRowHeight="13.8" zeroHeight="false" outlineLevelRow="0" outlineLevelCol="0"/>
  <cols>
    <col collapsed="false" customWidth="true" hidden="false" outlineLevel="0" max="1" min="1" style="1" width="13.88"/>
    <col collapsed="false" customWidth="false" hidden="false" outlineLevel="0" max="3" min="2" style="1" width="11.44"/>
    <col collapsed="false" customWidth="true" hidden="false" outlineLevel="0" max="4" min="4" style="1" width="25.88"/>
    <col collapsed="false" customWidth="true" hidden="false" outlineLevel="0" max="5" min="5" style="1" width="12.88"/>
    <col collapsed="false" customWidth="true" hidden="false" outlineLevel="0" max="6" min="6" style="1" width="8.88"/>
    <col collapsed="false" customWidth="false" hidden="false" outlineLevel="0" max="7" min="7" style="1" width="11.44"/>
    <col collapsed="false" customWidth="true" hidden="false" outlineLevel="0" max="8" min="8" style="1" width="15.56"/>
    <col collapsed="false" customWidth="false" hidden="false" outlineLevel="0" max="10" min="9" style="1" width="11.44"/>
    <col collapsed="false" customWidth="true" hidden="false" outlineLevel="0" max="11" min="11" style="1" width="25.67"/>
    <col collapsed="false" customWidth="true" hidden="false" outlineLevel="0" max="12" min="12" style="1" width="11.56"/>
    <col collapsed="false" customWidth="false" hidden="false" outlineLevel="0" max="13" min="13" style="1" width="11.44"/>
    <col collapsed="false" customWidth="true" hidden="false" outlineLevel="0" max="14" min="14" style="1" width="25.56"/>
    <col collapsed="false" customWidth="false" hidden="false" outlineLevel="0" max="16384" min="15" style="1" width="11.44"/>
  </cols>
  <sheetData>
    <row r="1" customFormat="false" ht="14.25" hidden="false" customHeight="false" outlineLevel="0" collapsed="false">
      <c r="A1" s="2" t="s">
        <v>0</v>
      </c>
      <c r="B1" s="3"/>
      <c r="D1" s="4" t="s">
        <v>1</v>
      </c>
      <c r="E1" s="3" t="n">
        <f aca="false">SUM(C5:C68)+SUM(B5:B68)-SUMIF(Tableau3216[Raison],"Salaire",Tableau3216[Crédit])</f>
        <v>0</v>
      </c>
      <c r="F1" s="5"/>
      <c r="G1" s="6"/>
      <c r="H1" s="4" t="s">
        <v>47</v>
      </c>
      <c r="I1" s="3" t="n">
        <f aca="false">IF(SUMIF(Tableau3216[Raison],"Salaire",Tableau3216[Crédit])=0,2200,SUMIF(Tableau3216[Raison],"Salaire",Tableau3216[Crédit]))</f>
        <v>2200</v>
      </c>
    </row>
    <row r="2" customFormat="false" ht="15" hidden="false" customHeight="false" outlineLevel="0" collapsed="false">
      <c r="A2" s="2" t="s">
        <v>3</v>
      </c>
      <c r="B2" s="3"/>
      <c r="D2" s="4" t="s">
        <v>4</v>
      </c>
      <c r="E2" s="3" t="n">
        <f aca="false">I1+E1</f>
        <v>2200</v>
      </c>
      <c r="F2" s="7"/>
      <c r="G2" s="8" t="n">
        <f aca="false">(100/I1)*E2/100</f>
        <v>1</v>
      </c>
    </row>
    <row r="3" customFormat="false" ht="14.25" hidden="false" customHeight="false" outlineLevel="0" collapsed="false">
      <c r="F3" s="9"/>
    </row>
    <row r="4" customFormat="false" ht="13.8" hidden="false" customHeight="false" outlineLevel="0" collapsed="false">
      <c r="A4" s="10" t="s">
        <v>5</v>
      </c>
      <c r="B4" s="11" t="s">
        <v>6</v>
      </c>
      <c r="C4" s="12" t="s">
        <v>7</v>
      </c>
      <c r="D4" s="13" t="s">
        <v>8</v>
      </c>
      <c r="E4" s="14" t="s">
        <v>9</v>
      </c>
      <c r="F4" s="15" t="s">
        <v>10</v>
      </c>
      <c r="K4" s="16" t="s">
        <v>11</v>
      </c>
      <c r="L4" s="17" t="s">
        <v>12</v>
      </c>
    </row>
    <row r="5" customFormat="false" ht="13.8" hidden="false" customHeight="false" outlineLevel="0" collapsed="false">
      <c r="A5" s="28"/>
      <c r="B5" s="19"/>
      <c r="C5" s="20"/>
      <c r="D5" s="21"/>
      <c r="E5" s="22" t="str">
        <f aca="false">IF(F5="X",B1+C5+B5,"")</f>
        <v/>
      </c>
      <c r="F5" s="23"/>
      <c r="K5" s="24"/>
      <c r="L5" s="25" t="n">
        <f aca="false">IF(K5&lt;&gt;"",SUMIF($D$5:$D$55,K5,$C$5:$C$55)+SUMIF($D$5:$D$55,K5,$B$5:$B$55))</f>
        <v>0</v>
      </c>
    </row>
    <row r="6" customFormat="false" ht="13.8" hidden="false" customHeight="false" outlineLevel="0" collapsed="false">
      <c r="A6" s="28"/>
      <c r="B6" s="19"/>
      <c r="C6" s="20"/>
      <c r="D6" s="21"/>
      <c r="E6" s="22" t="str">
        <f aca="false">IF(F6="X",E5+C6+B6,"")</f>
        <v/>
      </c>
      <c r="F6" s="23"/>
      <c r="K6" s="26"/>
      <c r="L6" s="25" t="str">
        <f aca="false">IF(K6&lt;&gt;"",SUMIF($D$5:$D$55,K6,$C$5:$C$55)+SUMIF($D$5:$D$55,K6,$B$5:$B$55),"")</f>
        <v/>
      </c>
    </row>
    <row r="7" customFormat="false" ht="13.8" hidden="false" customHeight="false" outlineLevel="0" collapsed="false">
      <c r="A7" s="28"/>
      <c r="B7" s="19"/>
      <c r="C7" s="20"/>
      <c r="D7" s="21"/>
      <c r="E7" s="22" t="str">
        <f aca="false">IF(F7="X",E6+C7+B7,"")</f>
        <v/>
      </c>
      <c r="F7" s="23"/>
      <c r="K7" s="26"/>
      <c r="L7" s="25" t="str">
        <f aca="false">IF(K7&lt;&gt;"",SUMIF($D$5:$D$55,K7,$C$5:$C$55)+SUMIF($D$5:$D$55,K7,$B$5:$B$55),"")</f>
        <v/>
      </c>
    </row>
    <row r="8" customFormat="false" ht="13.8" hidden="false" customHeight="false" outlineLevel="0" collapsed="false">
      <c r="A8" s="28"/>
      <c r="B8" s="19"/>
      <c r="C8" s="20"/>
      <c r="D8" s="21"/>
      <c r="E8" s="22" t="str">
        <f aca="false">IF(F8="X",E7+C8+B8,"")</f>
        <v/>
      </c>
      <c r="F8" s="23"/>
      <c r="K8" s="26"/>
      <c r="L8" s="25" t="str">
        <f aca="false">IF(K8&lt;&gt;"",SUMIF($D$5:$D$55,K8,$C$5:$C$55)+SUMIF($D$5:$D$55,K8,$B$5:$B$55),"")</f>
        <v/>
      </c>
    </row>
    <row r="9" customFormat="false" ht="13.8" hidden="false" customHeight="false" outlineLevel="0" collapsed="false">
      <c r="A9" s="28"/>
      <c r="B9" s="19"/>
      <c r="C9" s="31"/>
      <c r="D9" s="21"/>
      <c r="E9" s="22" t="str">
        <f aca="false">IF(F9="X",E8+C9+B9,"")</f>
        <v/>
      </c>
      <c r="F9" s="23"/>
      <c r="K9" s="26"/>
      <c r="L9" s="25" t="str">
        <f aca="false">IF(K9&lt;&gt;"",SUMIF($D$5:$D$55,K9,$C$5:$C$55)+SUMIF($D$5:$D$55,K9,$B$5:$B$55),"")</f>
        <v/>
      </c>
    </row>
    <row r="10" customFormat="false" ht="13.8" hidden="false" customHeight="false" outlineLevel="0" collapsed="false">
      <c r="A10" s="28"/>
      <c r="B10" s="30"/>
      <c r="C10" s="31"/>
      <c r="D10" s="21"/>
      <c r="E10" s="22" t="str">
        <f aca="false">IF(F10="X",E9+C10+B10,"")</f>
        <v/>
      </c>
      <c r="F10" s="23"/>
      <c r="K10" s="26"/>
      <c r="L10" s="25" t="str">
        <f aca="false">IF(K10&lt;&gt;"",SUMIF($D$5:$D$55,K10,$C$5:$C$55)+SUMIF($D$5:$D$55,K10,$B$5:$B$55),"")</f>
        <v/>
      </c>
    </row>
    <row r="11" customFormat="false" ht="13.8" hidden="false" customHeight="false" outlineLevel="0" collapsed="false">
      <c r="A11" s="28"/>
      <c r="B11" s="19"/>
      <c r="C11" s="20"/>
      <c r="D11" s="21"/>
      <c r="E11" s="22" t="str">
        <f aca="false">IF(F11="X",E10+C11+B11,"")</f>
        <v/>
      </c>
      <c r="F11" s="23"/>
      <c r="K11" s="26"/>
      <c r="L11" s="25" t="str">
        <f aca="false">IF(K11&lt;&gt;"",SUMIF($D$5:$D$55,K11,$C$5:$C$55)+SUMIF($D$5:$D$55,K11,$B$5:$B$55),"")</f>
        <v/>
      </c>
    </row>
    <row r="12" customFormat="false" ht="13.8" hidden="false" customHeight="false" outlineLevel="0" collapsed="false">
      <c r="A12" s="28"/>
      <c r="B12" s="19"/>
      <c r="C12" s="20"/>
      <c r="D12" s="21"/>
      <c r="E12" s="22" t="str">
        <f aca="false">IF(F12="X",E11+C12+B12,"")</f>
        <v/>
      </c>
      <c r="F12" s="23"/>
      <c r="K12" s="26"/>
      <c r="L12" s="25" t="str">
        <f aca="false">IF(K12&lt;&gt;"",SUMIF($D$5:$D$55,K12,$C$5:$C$55)+SUMIF($D$5:$D$55,K12,$B$5:$B$55),"")</f>
        <v/>
      </c>
    </row>
    <row r="13" customFormat="false" ht="13.8" hidden="false" customHeight="false" outlineLevel="0" collapsed="false">
      <c r="A13" s="28"/>
      <c r="B13" s="19"/>
      <c r="C13" s="20"/>
      <c r="D13" s="21"/>
      <c r="E13" s="22" t="str">
        <f aca="false">IF(F13="X",E12+C13+B13,"")</f>
        <v/>
      </c>
      <c r="F13" s="23"/>
      <c r="K13" s="26"/>
      <c r="L13" s="25" t="str">
        <f aca="false">IF(K13&lt;&gt;"",SUMIF($D$5:$D$55,K13,$C$5:$C$55)+SUMIF($D$5:$D$55,K13,$B$5:$B$55),"")</f>
        <v/>
      </c>
    </row>
    <row r="14" customFormat="false" ht="13.8" hidden="false" customHeight="false" outlineLevel="0" collapsed="false">
      <c r="A14" s="28"/>
      <c r="B14" s="19"/>
      <c r="C14" s="20"/>
      <c r="D14" s="21"/>
      <c r="E14" s="22" t="str">
        <f aca="false">IF(F14="X",E13+C14+B14,"")</f>
        <v/>
      </c>
      <c r="F14" s="37"/>
      <c r="K14" s="26"/>
      <c r="L14" s="25" t="str">
        <f aca="false">IF(K14&lt;&gt;"",SUMIF($D$5:$D$55,K14,$C$5:$C$55)+SUMIF($D$5:$D$55,K14,$B$5:$B$55),"")</f>
        <v/>
      </c>
    </row>
    <row r="15" customFormat="false" ht="13.8" hidden="false" customHeight="false" outlineLevel="0" collapsed="false">
      <c r="A15" s="28"/>
      <c r="B15" s="19"/>
      <c r="C15" s="20"/>
      <c r="D15" s="21"/>
      <c r="E15" s="22" t="str">
        <f aca="false">IF(F15="X",E14+C15+B15,"")</f>
        <v/>
      </c>
      <c r="F15" s="23"/>
      <c r="K15" s="26"/>
      <c r="L15" s="25" t="str">
        <f aca="false">IF(K15&lt;&gt;"",SUMIF($D$5:$D$55,K15,$C$5:$C$55)+SUMIF($D$5:$D$55,K15,$B$5:$B$55),"")</f>
        <v/>
      </c>
    </row>
    <row r="16" customFormat="false" ht="13.8" hidden="false" customHeight="false" outlineLevel="0" collapsed="false">
      <c r="A16" s="28"/>
      <c r="B16" s="19"/>
      <c r="C16" s="20"/>
      <c r="D16" s="21"/>
      <c r="E16" s="22" t="str">
        <f aca="false">IF(F16="X",E15+C16+B16,"")</f>
        <v/>
      </c>
      <c r="F16" s="23"/>
      <c r="K16" s="26"/>
      <c r="L16" s="25" t="str">
        <f aca="false">IF(K16&lt;&gt;"",SUMIF($D$5:$D$55,K16,$C$5:$C$55)+SUMIF($D$5:$D$55,K16,$B$5:$B$55),"")</f>
        <v/>
      </c>
    </row>
    <row r="17" customFormat="false" ht="13.8" hidden="false" customHeight="false" outlineLevel="0" collapsed="false">
      <c r="A17" s="28"/>
      <c r="B17" s="19"/>
      <c r="C17" s="20"/>
      <c r="D17" s="21"/>
      <c r="E17" s="22" t="str">
        <f aca="false">IF(F17="X",E16+C17+B17,"")</f>
        <v/>
      </c>
      <c r="F17" s="37"/>
      <c r="K17" s="26"/>
      <c r="L17" s="25" t="str">
        <f aca="false">IF(K17&lt;&gt;"",SUMIF($D$5:$D$55,K17,$C$5:$C$55)+SUMIF($D$5:$D$55,K17,$B$5:$B$55),"")</f>
        <v/>
      </c>
    </row>
    <row r="18" customFormat="false" ht="13.8" hidden="false" customHeight="false" outlineLevel="0" collapsed="false">
      <c r="A18" s="28"/>
      <c r="B18" s="19"/>
      <c r="C18" s="20"/>
      <c r="D18" s="21"/>
      <c r="E18" s="22" t="str">
        <f aca="false">IF(F18="X",E17+C18+B18,"")</f>
        <v/>
      </c>
      <c r="F18" s="23"/>
      <c r="K18" s="26"/>
      <c r="L18" s="25" t="str">
        <f aca="false">IF(K18&lt;&gt;"",SUMIF($D$5:$D$55,K18,$C$5:$C$55)+SUMIF($D$5:$D$55,K18,$B$5:$B$55),"")</f>
        <v/>
      </c>
    </row>
    <row r="19" customFormat="false" ht="13.8" hidden="false" customHeight="false" outlineLevel="0" collapsed="false">
      <c r="A19" s="28"/>
      <c r="B19" s="19"/>
      <c r="C19" s="20"/>
      <c r="D19" s="21"/>
      <c r="E19" s="22" t="str">
        <f aca="false">IF(F19="X",E18+C19+B19,"")</f>
        <v/>
      </c>
      <c r="F19" s="23"/>
      <c r="K19" s="26"/>
      <c r="L19" s="25" t="str">
        <f aca="false">IF(K19&lt;&gt;"",SUMIF($D$5:$D$55,K19,$C$5:$C$55)+SUMIF($D$5:$D$55,K19,$B$5:$B$55),"")</f>
        <v/>
      </c>
    </row>
    <row r="20" customFormat="false" ht="13.8" hidden="false" customHeight="false" outlineLevel="0" collapsed="false">
      <c r="A20" s="28"/>
      <c r="B20" s="19"/>
      <c r="C20" s="20"/>
      <c r="D20" s="21"/>
      <c r="E20" s="22" t="str">
        <f aca="false">IF(F20="X",E19+C20+B20,"")</f>
        <v/>
      </c>
      <c r="F20" s="23"/>
      <c r="K20" s="26"/>
      <c r="L20" s="25" t="str">
        <f aca="false">IF(K20&lt;&gt;"",SUMIF($D$5:$D$55,K20,$C$5:$C$55)+SUMIF($D$5:$D$55,K20,$B$5:$B$55),"")</f>
        <v/>
      </c>
    </row>
    <row r="21" customFormat="false" ht="13.8" hidden="false" customHeight="false" outlineLevel="0" collapsed="false">
      <c r="A21" s="28"/>
      <c r="B21" s="19"/>
      <c r="C21" s="20"/>
      <c r="D21" s="21"/>
      <c r="E21" s="22" t="str">
        <f aca="false">IF(F21="X",E20+C21+B21,"")</f>
        <v/>
      </c>
      <c r="F21" s="23"/>
      <c r="K21" s="26"/>
      <c r="L21" s="25" t="str">
        <f aca="false">IF(K21&lt;&gt;"",SUMIF($D$5:$D$55,K21,$C$5:$C$55)+SUMIF($D$5:$D$55,K21,$B$5:$B$55),"")</f>
        <v/>
      </c>
    </row>
    <row r="22" customFormat="false" ht="13.8" hidden="false" customHeight="false" outlineLevel="0" collapsed="false">
      <c r="A22" s="28"/>
      <c r="B22" s="19"/>
      <c r="C22" s="20"/>
      <c r="D22" s="21"/>
      <c r="E22" s="22" t="str">
        <f aca="false">IF(F22="X",E21+C22+B22,"")</f>
        <v/>
      </c>
      <c r="F22" s="23"/>
      <c r="K22" s="26"/>
      <c r="L22" s="25" t="str">
        <f aca="false">IF(K22&lt;&gt;"",SUMIF($D$5:$D$55,K22,$C$5:$C$55)+SUMIF($D$5:$D$55,K22,$B$5:$B$55),"")</f>
        <v/>
      </c>
    </row>
    <row r="23" customFormat="false" ht="13.8" hidden="false" customHeight="false" outlineLevel="0" collapsed="false">
      <c r="A23" s="28"/>
      <c r="B23" s="19"/>
      <c r="C23" s="20"/>
      <c r="D23" s="21"/>
      <c r="E23" s="22" t="str">
        <f aca="false">IF(F23="X",E22+C23+B23,"")</f>
        <v/>
      </c>
      <c r="F23" s="23"/>
      <c r="K23" s="26"/>
      <c r="L23" s="25" t="str">
        <f aca="false">IF(K23&lt;&gt;"",SUMIF($D$5:$D$55,K23,$C$5:$C$55)+SUMIF($D$5:$D$55,K23,$B$5:$B$55),"")</f>
        <v/>
      </c>
    </row>
    <row r="24" customFormat="false" ht="13.8" hidden="false" customHeight="false" outlineLevel="0" collapsed="false">
      <c r="A24" s="28"/>
      <c r="B24" s="19"/>
      <c r="C24" s="20"/>
      <c r="D24" s="21"/>
      <c r="E24" s="22" t="str">
        <f aca="false">IF(F24="X",E23+C24+B24,"")</f>
        <v/>
      </c>
      <c r="F24" s="23"/>
      <c r="K24" s="26"/>
      <c r="L24" s="25" t="str">
        <f aca="false">IF(K24&lt;&gt;"",SUMIF($D$5:$D$55,K24,$C$5:$C$55)+SUMIF($D$5:$D$55,K24,$B$5:$B$55),"")</f>
        <v/>
      </c>
    </row>
    <row r="25" customFormat="false" ht="13.8" hidden="false" customHeight="false" outlineLevel="0" collapsed="false">
      <c r="A25" s="28"/>
      <c r="B25" s="19"/>
      <c r="C25" s="20"/>
      <c r="D25" s="21"/>
      <c r="E25" s="22" t="str">
        <f aca="false">IF(F25="X",E24+C25+B25,"")</f>
        <v/>
      </c>
      <c r="F25" s="23"/>
      <c r="K25" s="26"/>
      <c r="L25" s="29"/>
    </row>
    <row r="26" customFormat="false" ht="13.8" hidden="false" customHeight="false" outlineLevel="0" collapsed="false">
      <c r="A26" s="28"/>
      <c r="B26" s="19"/>
      <c r="C26" s="20"/>
      <c r="D26" s="21"/>
      <c r="E26" s="22" t="str">
        <f aca="false">IF(F26="X",E25+C26+B26,"")</f>
        <v/>
      </c>
      <c r="F26" s="23"/>
      <c r="K26" s="26"/>
      <c r="L26" s="29"/>
    </row>
    <row r="27" customFormat="false" ht="13.8" hidden="false" customHeight="false" outlineLevel="0" collapsed="false">
      <c r="A27" s="18"/>
      <c r="B27" s="19"/>
      <c r="C27" s="20"/>
      <c r="D27" s="21"/>
      <c r="E27" s="22" t="str">
        <f aca="false">IF(F27="X",E26+C27+B27,"")</f>
        <v/>
      </c>
      <c r="F27" s="23"/>
      <c r="K27" s="26"/>
      <c r="L27" s="29"/>
    </row>
    <row r="28" customFormat="false" ht="13.8" hidden="false" customHeight="false" outlineLevel="0" collapsed="false">
      <c r="A28" s="28"/>
      <c r="B28" s="19"/>
      <c r="C28" s="20"/>
      <c r="D28" s="21"/>
      <c r="E28" s="22" t="str">
        <f aca="false">IF(F28="X",E27+C28+B28,"")</f>
        <v/>
      </c>
      <c r="F28" s="23"/>
      <c r="K28" s="26"/>
      <c r="L28" s="29"/>
    </row>
    <row r="29" customFormat="false" ht="13.8" hidden="false" customHeight="false" outlineLevel="0" collapsed="false">
      <c r="A29" s="28"/>
      <c r="B29" s="19"/>
      <c r="C29" s="20"/>
      <c r="D29" s="21"/>
      <c r="E29" s="22" t="str">
        <f aca="false">IF(F29="X",E28+C29+B29,"")</f>
        <v/>
      </c>
      <c r="F29" s="23"/>
      <c r="K29" s="26"/>
      <c r="L29" s="29"/>
    </row>
    <row r="30" customFormat="false" ht="13.8" hidden="false" customHeight="false" outlineLevel="0" collapsed="false">
      <c r="A30" s="18"/>
      <c r="B30" s="19"/>
      <c r="C30" s="20"/>
      <c r="D30" s="21"/>
      <c r="E30" s="22" t="str">
        <f aca="false">IF(F30="X",E29+C30+B30,"")</f>
        <v/>
      </c>
      <c r="F30" s="23"/>
      <c r="K30" s="26"/>
      <c r="L30" s="29"/>
    </row>
    <row r="31" customFormat="false" ht="13.8" hidden="false" customHeight="false" outlineLevel="0" collapsed="false">
      <c r="A31" s="28"/>
      <c r="B31" s="19"/>
      <c r="C31" s="20"/>
      <c r="D31" s="21"/>
      <c r="E31" s="22" t="str">
        <f aca="false">IF(F31="X",E30+C31+B31,"")</f>
        <v/>
      </c>
      <c r="F31" s="23"/>
      <c r="K31" s="26"/>
      <c r="L31" s="29"/>
    </row>
    <row r="32" customFormat="false" ht="13.8" hidden="false" customHeight="false" outlineLevel="0" collapsed="false">
      <c r="A32" s="28"/>
      <c r="B32" s="19"/>
      <c r="C32" s="20"/>
      <c r="D32" s="21"/>
      <c r="E32" s="22" t="str">
        <f aca="false">IF(F32="X",E31+C32+B32,"")</f>
        <v/>
      </c>
      <c r="F32" s="23"/>
      <c r="K32" s="26"/>
      <c r="L32" s="29"/>
    </row>
    <row r="33" customFormat="false" ht="13.8" hidden="false" customHeight="false" outlineLevel="0" collapsed="false">
      <c r="A33" s="28"/>
      <c r="B33" s="19"/>
      <c r="C33" s="20"/>
      <c r="D33" s="21"/>
      <c r="E33" s="22" t="str">
        <f aca="false">IF(F33="X",E32+C33+B33,"")</f>
        <v/>
      </c>
      <c r="F33" s="23"/>
      <c r="K33" s="26"/>
      <c r="L33" s="29"/>
    </row>
    <row r="34" customFormat="false" ht="13.8" hidden="false" customHeight="false" outlineLevel="0" collapsed="false">
      <c r="A34" s="28"/>
      <c r="B34" s="19"/>
      <c r="C34" s="20"/>
      <c r="D34" s="21"/>
      <c r="E34" s="22" t="str">
        <f aca="false">IF(F34="X",E33+C34+B34,"")</f>
        <v/>
      </c>
      <c r="F34" s="23"/>
      <c r="K34" s="26"/>
      <c r="L34" s="29"/>
    </row>
    <row r="35" customFormat="false" ht="13.8" hidden="false" customHeight="false" outlineLevel="0" collapsed="false">
      <c r="A35" s="28"/>
      <c r="B35" s="19"/>
      <c r="C35" s="20"/>
      <c r="D35" s="21"/>
      <c r="E35" s="22" t="str">
        <f aca="false">IF(F35="X",E34+C35+B35,"")</f>
        <v/>
      </c>
      <c r="F35" s="23"/>
      <c r="K35" s="26"/>
      <c r="L35" s="29" t="str">
        <f aca="false">IF(Tableau732329[[#This Row],[PRATIQUE]]&lt;&gt;"",SUMIF(Tableau3216[Raison],K35,Tableau3216[Débit])+SUMIF(Tableau3216[Raison],K35,Tableau3216[Crédit]),"")</f>
        <v/>
      </c>
    </row>
    <row r="36" customFormat="false" ht="13.8" hidden="false" customHeight="false" outlineLevel="0" collapsed="false">
      <c r="A36" s="28"/>
      <c r="B36" s="19"/>
      <c r="C36" s="20"/>
      <c r="D36" s="21"/>
      <c r="E36" s="22" t="str">
        <f aca="false">IF(F36="X",E35+C36+B36,"")</f>
        <v/>
      </c>
      <c r="F36" s="23"/>
      <c r="K36" s="26"/>
      <c r="L36" s="29" t="str">
        <f aca="false">IF(Tableau732329[[#This Row],[PRATIQUE]]&lt;&gt;"",SUMIF(Tableau3216[Raison],K36,Tableau3216[Débit])+SUMIF(Tableau3216[Raison],K36,Tableau3216[Crédit]),"")</f>
        <v/>
      </c>
    </row>
    <row r="37" customFormat="false" ht="13.8" hidden="false" customHeight="false" outlineLevel="0" collapsed="false">
      <c r="A37" s="28"/>
      <c r="B37" s="19"/>
      <c r="C37" s="20"/>
      <c r="D37" s="21"/>
      <c r="E37" s="22" t="str">
        <f aca="false">IF(F37="X",E36+C37+B37,"")</f>
        <v/>
      </c>
      <c r="F37" s="23"/>
      <c r="K37" s="26"/>
      <c r="L37" s="29" t="str">
        <f aca="false">IF(Tableau732329[[#This Row],[PRATIQUE]]&lt;&gt;"",SUMIF(Tableau3216[Raison],K37,Tableau3216[Débit])+SUMIF(Tableau3216[Raison],K37,Tableau3216[Crédit]),"")</f>
        <v/>
      </c>
    </row>
    <row r="38" customFormat="false" ht="13.8" hidden="false" customHeight="false" outlineLevel="0" collapsed="false">
      <c r="A38" s="28"/>
      <c r="B38" s="19"/>
      <c r="C38" s="20"/>
      <c r="D38" s="21"/>
      <c r="E38" s="22" t="str">
        <f aca="false">IF(F38="X",E37+C38+B38,"")</f>
        <v/>
      </c>
      <c r="F38" s="23"/>
      <c r="K38" s="26"/>
      <c r="L38" s="29" t="str">
        <f aca="false">IF(Tableau732329[[#This Row],[PRATIQUE]]&lt;&gt;"",SUMIF(Tableau3216[Raison],K38,Tableau3216[Débit])+SUMIF(Tableau3216[Raison],K38,Tableau3216[Crédit]),"")</f>
        <v/>
      </c>
    </row>
    <row r="39" customFormat="false" ht="13.8" hidden="false" customHeight="false" outlineLevel="0" collapsed="false">
      <c r="A39" s="28"/>
      <c r="B39" s="19"/>
      <c r="C39" s="20"/>
      <c r="D39" s="21"/>
      <c r="E39" s="22" t="str">
        <f aca="false">IF(F39="X",E38+C39+B39,"")</f>
        <v/>
      </c>
      <c r="F39" s="23"/>
      <c r="K39" s="26"/>
      <c r="L39" s="29" t="str">
        <f aca="false">IF(Tableau732329[[#This Row],[PRATIQUE]]&lt;&gt;"",SUMIF(Tableau3216[Raison],K39,Tableau3216[Débit])+SUMIF(Tableau3216[Raison],K39,Tableau3216[Crédit]),"")</f>
        <v/>
      </c>
    </row>
    <row r="40" customFormat="false" ht="13.8" hidden="false" customHeight="false" outlineLevel="0" collapsed="false">
      <c r="A40" s="28"/>
      <c r="B40" s="19"/>
      <c r="C40" s="20"/>
      <c r="D40" s="21"/>
      <c r="E40" s="22" t="str">
        <f aca="false">IF(F40="X",#REF!+C40+B40,"")</f>
        <v/>
      </c>
      <c r="F40" s="23"/>
      <c r="K40" s="32"/>
      <c r="L40" s="32"/>
    </row>
    <row r="41" customFormat="false" ht="13.8" hidden="false" customHeight="false" outlineLevel="0" collapsed="false">
      <c r="A41" s="28"/>
      <c r="B41" s="19"/>
      <c r="C41" s="20"/>
      <c r="D41" s="21"/>
      <c r="E41" s="22" t="str">
        <f aca="false">IF(F41="X",E40+C41+B41,"")</f>
        <v/>
      </c>
      <c r="F41" s="23"/>
      <c r="K41" s="33" t="s">
        <v>41</v>
      </c>
      <c r="L41" s="29" t="n">
        <f aca="false">SUMIF(Tableau3216[Raison],"Orange",Tableau3216[Débit])+SUMIF(Tableau3216[Raison],"TEGO",Tableau3216[Débit])+SUMIF(Tableau3216[Raison],"Carac",Tableau3216[Débit])+SUMIF(Tableau3216[Raison],"UNEO",Tableau3216[Débit])+SUMIF(Tableau3216[Raison],"Crédit Mutuel",Tableau3216[Débit])+SUMIF(Tableau3216[Raison],"Millesime",Tableau3216[Débit])+SUMIF(Tableau3216[Raison],"Loyer",Tableau3216[Débit])+SUMIF(Tableau3216[Raison],"GoWod",Tableau3216[Débit])+SUMIF(Tableau3216[Raison],"EPARMIL",Tableau3216[Débit])+SUMIF(Tableau3216[Raison],"Virement Livret Bébé",Tableau3216[Débit])+SUMIF(Tableau3216[Raison],"Virement A",Tableau3216[Débit])+SUMIF(Tableau3216[Raison],"Bouygues",Tableau3216[Débit])</f>
        <v>0</v>
      </c>
    </row>
    <row r="42" customFormat="false" ht="13.8" hidden="false" customHeight="false" outlineLevel="0" collapsed="false">
      <c r="A42" s="28"/>
      <c r="B42" s="19"/>
      <c r="C42" s="20"/>
      <c r="D42" s="21"/>
      <c r="E42" s="22" t="str">
        <f aca="false">IF(F42="X",E41+C42+B42,"")</f>
        <v/>
      </c>
      <c r="F42" s="23"/>
      <c r="K42" s="34"/>
      <c r="L42" s="34"/>
    </row>
    <row r="43" customFormat="false" ht="13.8" hidden="false" customHeight="false" outlineLevel="0" collapsed="false">
      <c r="A43" s="28"/>
      <c r="B43" s="19"/>
      <c r="C43" s="20"/>
      <c r="D43" s="21"/>
      <c r="E43" s="22" t="str">
        <f aca="false">IF(F43="X",E42+C43+B43,"")</f>
        <v/>
      </c>
      <c r="F43" s="23"/>
      <c r="K43" s="35" t="s">
        <v>12</v>
      </c>
      <c r="L43" s="29" t="n">
        <f aca="false">SUM(L4:L40)</f>
        <v>0</v>
      </c>
    </row>
    <row r="44" customFormat="false" ht="13.8" hidden="false" customHeight="false" outlineLevel="0" collapsed="false">
      <c r="A44" s="28"/>
      <c r="B44" s="19"/>
      <c r="C44" s="20"/>
      <c r="D44" s="21"/>
      <c r="E44" s="22" t="str">
        <f aca="false">IF(F44="X",E43+C44+B44,"")</f>
        <v/>
      </c>
      <c r="F44" s="23"/>
      <c r="K44" s="35" t="s">
        <v>42</v>
      </c>
      <c r="L44" s="29" t="n">
        <f aca="false">I1+L43</f>
        <v>2200</v>
      </c>
    </row>
    <row r="45" customFormat="false" ht="13.8" hidden="false" customHeight="false" outlineLevel="0" collapsed="false">
      <c r="A45" s="28"/>
      <c r="B45" s="19"/>
      <c r="C45" s="20"/>
      <c r="D45" s="21"/>
      <c r="E45" s="22" t="str">
        <f aca="false">IF(F45="X",E44+C45+B45,"")</f>
        <v/>
      </c>
      <c r="F45" s="23"/>
    </row>
    <row r="46" customFormat="false" ht="13.8" hidden="false" customHeight="false" outlineLevel="0" collapsed="false">
      <c r="A46" s="28"/>
      <c r="B46" s="19"/>
      <c r="C46" s="20"/>
      <c r="D46" s="21"/>
      <c r="E46" s="22" t="str">
        <f aca="false">IF(F46="X",E45+C46+B46,"")</f>
        <v/>
      </c>
      <c r="F46" s="23"/>
    </row>
    <row r="47" customFormat="false" ht="13.8" hidden="false" customHeight="false" outlineLevel="0" collapsed="false">
      <c r="A47" s="28"/>
      <c r="B47" s="19"/>
      <c r="C47" s="20"/>
      <c r="D47" s="21"/>
      <c r="E47" s="22" t="str">
        <f aca="false">IF(F47="X",E46+C47+B47,"")</f>
        <v/>
      </c>
      <c r="F47" s="23"/>
    </row>
    <row r="48" customFormat="false" ht="13.8" hidden="false" customHeight="false" outlineLevel="0" collapsed="false">
      <c r="A48" s="28"/>
      <c r="B48" s="19"/>
      <c r="C48" s="20"/>
      <c r="D48" s="21"/>
      <c r="E48" s="22" t="str">
        <f aca="false">IF(F48="X",E47+C48+B48,"")</f>
        <v/>
      </c>
      <c r="F48" s="23"/>
    </row>
    <row r="49" customFormat="false" ht="13.8" hidden="false" customHeight="false" outlineLevel="0" collapsed="false">
      <c r="A49" s="56"/>
      <c r="B49" s="19"/>
      <c r="C49" s="20"/>
      <c r="D49" s="21"/>
      <c r="E49" s="22" t="str">
        <f aca="false">IF(F49="X",E48+C49+B49,"")</f>
        <v/>
      </c>
      <c r="F49" s="64"/>
    </row>
    <row r="50" customFormat="false" ht="13.8" hidden="false" customHeight="false" outlineLevel="0" collapsed="false">
      <c r="A50" s="56"/>
      <c r="B50" s="19"/>
      <c r="C50" s="20"/>
      <c r="D50" s="21"/>
      <c r="E50" s="22" t="str">
        <f aca="false">IF(F50="X",E49+C50+B50,"")</f>
        <v/>
      </c>
      <c r="F50" s="64"/>
    </row>
    <row r="51" customFormat="false" ht="13.8" hidden="false" customHeight="false" outlineLevel="0" collapsed="false">
      <c r="A51" s="56"/>
      <c r="B51" s="19"/>
      <c r="C51" s="20"/>
      <c r="D51" s="21"/>
      <c r="E51" s="22" t="str">
        <f aca="false">IF(F51="X",E50+C51+B51,"")</f>
        <v/>
      </c>
      <c r="F51" s="64"/>
    </row>
    <row r="52" customFormat="false" ht="13.8" hidden="false" customHeight="false" outlineLevel="0" collapsed="false">
      <c r="A52" s="56"/>
      <c r="B52" s="19"/>
      <c r="C52" s="20"/>
      <c r="D52" s="21"/>
      <c r="E52" s="22" t="str">
        <f aca="false">IF(F52="X",E51+C52+B52,"")</f>
        <v/>
      </c>
      <c r="F52" s="64"/>
    </row>
    <row r="53" customFormat="false" ht="13.8" hidden="false" customHeight="false" outlineLevel="0" collapsed="false">
      <c r="A53" s="56"/>
      <c r="B53" s="19"/>
      <c r="C53" s="20"/>
      <c r="D53" s="21"/>
      <c r="E53" s="22" t="str">
        <f aca="false">IF(F53="X",E52+C53+B53,"")</f>
        <v/>
      </c>
      <c r="F53" s="64"/>
    </row>
    <row r="54" customFormat="false" ht="13.8" hidden="false" customHeight="false" outlineLevel="0" collapsed="false">
      <c r="A54" s="56"/>
      <c r="B54" s="19"/>
      <c r="C54" s="20"/>
      <c r="D54" s="21"/>
      <c r="E54" s="22" t="str">
        <f aca="false">IF(F54="X",E53+C54+B54,"")</f>
        <v/>
      </c>
      <c r="F54" s="64"/>
    </row>
    <row r="55" customFormat="false" ht="13.8" hidden="false" customHeight="false" outlineLevel="0" collapsed="false">
      <c r="A55" s="56"/>
      <c r="B55" s="19"/>
      <c r="C55" s="20"/>
      <c r="D55" s="21"/>
      <c r="E55" s="22" t="str">
        <f aca="false">IF(F55="X",E54+C55+B55,"")</f>
        <v/>
      </c>
      <c r="F55" s="64"/>
    </row>
    <row r="56" customFormat="false" ht="13.8" hidden="false" customHeight="false" outlineLevel="0" collapsed="false">
      <c r="A56" s="56"/>
      <c r="B56" s="19"/>
      <c r="C56" s="20"/>
      <c r="D56" s="21"/>
      <c r="E56" s="22" t="str">
        <f aca="false">IF(F56="X",E55+C56+B56,"")</f>
        <v/>
      </c>
      <c r="F56" s="64"/>
    </row>
    <row r="57" customFormat="false" ht="13.8" hidden="false" customHeight="false" outlineLevel="0" collapsed="false">
      <c r="A57" s="56"/>
      <c r="B57" s="19"/>
      <c r="C57" s="20"/>
      <c r="D57" s="21"/>
      <c r="E57" s="22" t="str">
        <f aca="false">IF(F57="X",E56+C57+B57,"")</f>
        <v/>
      </c>
      <c r="F57" s="64"/>
      <c r="J57" s="36"/>
    </row>
    <row r="58" customFormat="false" ht="13.8" hidden="false" customHeight="false" outlineLevel="0" collapsed="false">
      <c r="A58" s="56"/>
      <c r="B58" s="19"/>
      <c r="C58" s="20"/>
      <c r="D58" s="21"/>
      <c r="E58" s="22" t="str">
        <f aca="false">IF(F58="X",E57+C58+B58,"")</f>
        <v/>
      </c>
      <c r="F58" s="64"/>
    </row>
    <row r="59" customFormat="false" ht="13.8" hidden="false" customHeight="false" outlineLevel="0" collapsed="false">
      <c r="A59" s="56"/>
      <c r="B59" s="19"/>
      <c r="C59" s="20"/>
      <c r="D59" s="21"/>
      <c r="E59" s="22" t="str">
        <f aca="false">IF(F59="X",E58+C59+B59,"")</f>
        <v/>
      </c>
      <c r="F59" s="57"/>
    </row>
    <row r="60" customFormat="false" ht="13.8" hidden="false" customHeight="false" outlineLevel="0" collapsed="false">
      <c r="A60" s="58"/>
      <c r="B60" s="19"/>
      <c r="C60" s="20"/>
      <c r="D60" s="21"/>
      <c r="E60" s="22" t="str">
        <f aca="false">IF(F60="X",E59+C60+B60,"")</f>
        <v/>
      </c>
      <c r="F60" s="57"/>
    </row>
    <row r="61" customFormat="false" ht="13.8" hidden="false" customHeight="false" outlineLevel="0" collapsed="false">
      <c r="A61" s="58"/>
      <c r="B61" s="19"/>
      <c r="C61" s="20"/>
      <c r="D61" s="21"/>
      <c r="E61" s="22" t="str">
        <f aca="false">IF(F61="X",E60+C61+B61,"")</f>
        <v/>
      </c>
      <c r="F61" s="57"/>
    </row>
    <row r="62" customFormat="false" ht="13.8" hidden="false" customHeight="false" outlineLevel="0" collapsed="false">
      <c r="A62" s="58"/>
      <c r="B62" s="19"/>
      <c r="C62" s="20"/>
      <c r="D62" s="21"/>
      <c r="E62" s="22" t="str">
        <f aca="false">IF(F62="X",E61+C62+B62,"")</f>
        <v/>
      </c>
      <c r="F62" s="57"/>
    </row>
    <row r="63" customFormat="false" ht="13.8" hidden="false" customHeight="false" outlineLevel="0" collapsed="false">
      <c r="A63" s="58"/>
      <c r="B63" s="19"/>
      <c r="C63" s="20"/>
      <c r="D63" s="21"/>
      <c r="E63" s="22" t="str">
        <f aca="false">IF(F63="X",E62+C63+B63,"")</f>
        <v/>
      </c>
      <c r="F63" s="57"/>
    </row>
    <row r="64" customFormat="false" ht="13.8" hidden="false" customHeight="false" outlineLevel="0" collapsed="false">
      <c r="A64" s="58"/>
      <c r="B64" s="19"/>
      <c r="C64" s="20"/>
      <c r="D64" s="21"/>
      <c r="E64" s="22" t="str">
        <f aca="false">IF(F64="X",E63+C64+B64,"")</f>
        <v/>
      </c>
      <c r="F64" s="57"/>
    </row>
    <row r="65" customFormat="false" ht="13.8" hidden="false" customHeight="false" outlineLevel="0" collapsed="false">
      <c r="A65" s="58"/>
      <c r="B65" s="19"/>
      <c r="C65" s="20"/>
      <c r="D65" s="21"/>
      <c r="E65" s="22" t="str">
        <f aca="false">IF(F65="X",E64+C65+B65,"")</f>
        <v/>
      </c>
      <c r="F65" s="57"/>
    </row>
    <row r="66" customFormat="false" ht="13.8" hidden="false" customHeight="false" outlineLevel="0" collapsed="false">
      <c r="A66" s="58"/>
      <c r="B66" s="19"/>
      <c r="C66" s="20"/>
      <c r="D66" s="21"/>
      <c r="E66" s="22" t="str">
        <f aca="false">IF(F66="X",E65+C66+B66,"")</f>
        <v/>
      </c>
      <c r="F66" s="57"/>
    </row>
    <row r="67" customFormat="false" ht="13.8" hidden="false" customHeight="false" outlineLevel="0" collapsed="false">
      <c r="A67" s="58"/>
      <c r="B67" s="19"/>
      <c r="C67" s="20"/>
      <c r="D67" s="21"/>
      <c r="E67" s="22" t="str">
        <f aca="false">IF(F67="X",E66+C67+B67,"")</f>
        <v/>
      </c>
      <c r="F67" s="57"/>
    </row>
    <row r="68" customFormat="false" ht="13.8" hidden="false" customHeight="false" outlineLevel="0" collapsed="false">
      <c r="A68" s="58"/>
      <c r="B68" s="19"/>
      <c r="C68" s="20"/>
      <c r="D68" s="21"/>
      <c r="E68" s="22" t="str">
        <f aca="false">IF(F68="X",E67+C68+B68,"")</f>
        <v/>
      </c>
      <c r="F68" s="57"/>
    </row>
    <row r="69" customFormat="false" ht="13.8" hidden="false" customHeight="false" outlineLevel="0" collapsed="false">
      <c r="A69" s="58"/>
      <c r="B69" s="19"/>
      <c r="C69" s="20"/>
      <c r="D69" s="21"/>
      <c r="E69" s="22" t="str">
        <f aca="false">IF(F69="X",E68+C69+B69,"")</f>
        <v/>
      </c>
      <c r="F69" s="57"/>
    </row>
    <row r="70" customFormat="false" ht="13.8" hidden="false" customHeight="false" outlineLevel="0" collapsed="false">
      <c r="A70" s="58"/>
      <c r="B70" s="19"/>
      <c r="C70" s="20"/>
      <c r="D70" s="21"/>
      <c r="E70" s="22" t="str">
        <f aca="false">IF(F70="X",E69+C70+B70,"")</f>
        <v/>
      </c>
      <c r="F70" s="57"/>
    </row>
    <row r="71" customFormat="false" ht="13.8" hidden="false" customHeight="false" outlineLevel="0" collapsed="false">
      <c r="A71" s="58"/>
      <c r="B71" s="19"/>
      <c r="C71" s="20"/>
      <c r="D71" s="21"/>
      <c r="E71" s="22" t="str">
        <f aca="false">IF(F71="X",E70+C71+B71,"")</f>
        <v/>
      </c>
      <c r="F71" s="57"/>
    </row>
    <row r="72" customFormat="false" ht="13.8" hidden="false" customHeight="false" outlineLevel="0" collapsed="false">
      <c r="A72" s="59"/>
      <c r="B72" s="60"/>
      <c r="C72" s="61"/>
      <c r="D72" s="62"/>
      <c r="E72" s="24" t="str">
        <f aca="false">IF(F72="X",E71+C72+B72,"")</f>
        <v/>
      </c>
      <c r="F72" s="63"/>
    </row>
    <row r="1048575" customFormat="false" ht="12.8" hidden="false" customHeight="false" outlineLevel="0" collapsed="false"/>
    <row r="1048576" customFormat="false" ht="12.8" hidden="false" customHeight="false" outlineLevel="0" collapsed="false"/>
  </sheetData>
  <mergeCells count="1">
    <mergeCell ref="K42:L42"/>
  </mergeCells>
  <conditionalFormatting sqref="L41:L42">
    <cfRule type="cellIs" priority="2" operator="greaterThan" aboveAverage="0" equalAverage="0" bottom="0" percent="0" rank="0" text="" dxfId="387">
      <formula>0</formula>
    </cfRule>
    <cfRule type="cellIs" priority="3" operator="lessThan" aboveAverage="0" equalAverage="0" bottom="0" percent="0" rank="0" text="" dxfId="388">
      <formula>0</formula>
    </cfRule>
  </conditionalFormatting>
  <conditionalFormatting sqref="K37">
    <cfRule type="expression" priority="4" aboveAverage="0" equalAverage="0" bottom="0" percent="0" rank="0" text="" dxfId="389">
      <formula>L37&gt;0</formula>
    </cfRule>
    <cfRule type="expression" priority="5" aboveAverage="0" equalAverage="0" bottom="0" percent="0" rank="0" text="" dxfId="390">
      <formula>L37&lt;0</formula>
    </cfRule>
  </conditionalFormatting>
  <conditionalFormatting sqref="K36">
    <cfRule type="expression" priority="6" aboveAverage="0" equalAverage="0" bottom="0" percent="0" rank="0" text="" dxfId="391">
      <formula>L36&gt;0</formula>
    </cfRule>
    <cfRule type="expression" priority="7" aboveAverage="0" equalAverage="0" bottom="0" percent="0" rank="0" text="" dxfId="392">
      <formula>L36&lt;0</formula>
    </cfRule>
  </conditionalFormatting>
  <conditionalFormatting sqref="K35">
    <cfRule type="expression" priority="8" aboveAverage="0" equalAverage="0" bottom="0" percent="0" rank="0" text="" dxfId="393">
      <formula>L35&gt;0</formula>
    </cfRule>
    <cfRule type="expression" priority="9" aboveAverage="0" equalAverage="0" bottom="0" percent="0" rank="0" text="" dxfId="394">
      <formula>L35&lt;0</formula>
    </cfRule>
  </conditionalFormatting>
  <conditionalFormatting sqref="K34">
    <cfRule type="expression" priority="10" aboveAverage="0" equalAverage="0" bottom="0" percent="0" rank="0" text="" dxfId="395">
      <formula>L34&gt;0</formula>
    </cfRule>
    <cfRule type="expression" priority="11" aboveAverage="0" equalAverage="0" bottom="0" percent="0" rank="0" text="" dxfId="396">
      <formula>L34&lt;0</formula>
    </cfRule>
  </conditionalFormatting>
  <conditionalFormatting sqref="K33">
    <cfRule type="expression" priority="12" aboveAverage="0" equalAverage="0" bottom="0" percent="0" rank="0" text="" dxfId="397">
      <formula>L33&gt;0</formula>
    </cfRule>
    <cfRule type="expression" priority="13" aboveAverage="0" equalAverage="0" bottom="0" percent="0" rank="0" text="" dxfId="398">
      <formula>L33&lt;0</formula>
    </cfRule>
  </conditionalFormatting>
  <conditionalFormatting sqref="K32">
    <cfRule type="expression" priority="14" aboveAverage="0" equalAverage="0" bottom="0" percent="0" rank="0" text="" dxfId="399">
      <formula>L32&gt;0</formula>
    </cfRule>
    <cfRule type="expression" priority="15" aboveAverage="0" equalAverage="0" bottom="0" percent="0" rank="0" text="" dxfId="400">
      <formula>L32&lt;0</formula>
    </cfRule>
  </conditionalFormatting>
  <conditionalFormatting sqref="K31">
    <cfRule type="expression" priority="16" aboveAverage="0" equalAverage="0" bottom="0" percent="0" rank="0" text="" dxfId="401">
      <formula>L31&gt;0</formula>
    </cfRule>
    <cfRule type="expression" priority="17" aboveAverage="0" equalAverage="0" bottom="0" percent="0" rank="0" text="" dxfId="402">
      <formula>L31&lt;0</formula>
    </cfRule>
  </conditionalFormatting>
  <conditionalFormatting sqref="K30">
    <cfRule type="expression" priority="18" aboveAverage="0" equalAverage="0" bottom="0" percent="0" rank="0" text="" dxfId="403">
      <formula>L30&gt;0</formula>
    </cfRule>
    <cfRule type="expression" priority="19" aboveAverage="0" equalAverage="0" bottom="0" percent="0" rank="0" text="" dxfId="404">
      <formula>L30&lt;0</formula>
    </cfRule>
  </conditionalFormatting>
  <conditionalFormatting sqref="K29">
    <cfRule type="expression" priority="20" aboveAverage="0" equalAverage="0" bottom="0" percent="0" rank="0" text="" dxfId="405">
      <formula>L29&gt;0</formula>
    </cfRule>
    <cfRule type="expression" priority="21" aboveAverage="0" equalAverage="0" bottom="0" percent="0" rank="0" text="" dxfId="406">
      <formula>L29&lt;0</formula>
    </cfRule>
  </conditionalFormatting>
  <conditionalFormatting sqref="K28">
    <cfRule type="expression" priority="22" aboveAverage="0" equalAverage="0" bottom="0" percent="0" rank="0" text="" dxfId="407">
      <formula>L28&gt;0</formula>
    </cfRule>
    <cfRule type="expression" priority="23" aboveAverage="0" equalAverage="0" bottom="0" percent="0" rank="0" text="" dxfId="408">
      <formula>L28&lt;0</formula>
    </cfRule>
  </conditionalFormatting>
  <conditionalFormatting sqref="K27">
    <cfRule type="expression" priority="24" aboveAverage="0" equalAverage="0" bottom="0" percent="0" rank="0" text="" dxfId="409">
      <formula>L27&gt;0</formula>
    </cfRule>
    <cfRule type="expression" priority="25" aboveAverage="0" equalAverage="0" bottom="0" percent="0" rank="0" text="" dxfId="410">
      <formula>L27&lt;0</formula>
    </cfRule>
  </conditionalFormatting>
  <conditionalFormatting sqref="K26">
    <cfRule type="expression" priority="26" aboveAverage="0" equalAverage="0" bottom="0" percent="0" rank="0" text="" dxfId="411">
      <formula>L26&gt;0</formula>
    </cfRule>
    <cfRule type="expression" priority="27" aboveAverage="0" equalAverage="0" bottom="0" percent="0" rank="0" text="" dxfId="412">
      <formula>L26&lt;0</formula>
    </cfRule>
  </conditionalFormatting>
  <conditionalFormatting sqref="K25">
    <cfRule type="expression" priority="28" aboveAverage="0" equalAverage="0" bottom="0" percent="0" rank="0" text="" dxfId="413">
      <formula>L25&gt;0</formula>
    </cfRule>
    <cfRule type="expression" priority="29" aboveAverage="0" equalAverage="0" bottom="0" percent="0" rank="0" text="" dxfId="414">
      <formula>L25&lt;0</formula>
    </cfRule>
  </conditionalFormatting>
  <conditionalFormatting sqref="K24">
    <cfRule type="expression" priority="30" aboveAverage="0" equalAverage="0" bottom="0" percent="0" rank="0" text="" dxfId="415">
      <formula>L24&gt;0</formula>
    </cfRule>
    <cfRule type="expression" priority="31" aboveAverage="0" equalAverage="0" bottom="0" percent="0" rank="0" text="" dxfId="416">
      <formula>L24&lt;0</formula>
    </cfRule>
  </conditionalFormatting>
  <conditionalFormatting sqref="K23">
    <cfRule type="expression" priority="32" aboveAverage="0" equalAverage="0" bottom="0" percent="0" rank="0" text="" dxfId="417">
      <formula>L23&gt;0</formula>
    </cfRule>
    <cfRule type="expression" priority="33" aboveAverage="0" equalAverage="0" bottom="0" percent="0" rank="0" text="" dxfId="418">
      <formula>L23&lt;0</formula>
    </cfRule>
  </conditionalFormatting>
  <conditionalFormatting sqref="K22">
    <cfRule type="expression" priority="34" aboveAverage="0" equalAverage="0" bottom="0" percent="0" rank="0" text="" dxfId="419">
      <formula>L22&gt;0</formula>
    </cfRule>
    <cfRule type="expression" priority="35" aboveAverage="0" equalAverage="0" bottom="0" percent="0" rank="0" text="" dxfId="420">
      <formula>L22&lt;0</formula>
    </cfRule>
  </conditionalFormatting>
  <conditionalFormatting sqref="K21">
    <cfRule type="expression" priority="36" aboveAverage="0" equalAverage="0" bottom="0" percent="0" rank="0" text="" dxfId="421">
      <formula>L21&gt;0</formula>
    </cfRule>
    <cfRule type="expression" priority="37" aboveAverage="0" equalAverage="0" bottom="0" percent="0" rank="0" text="" dxfId="422">
      <formula>L21&lt;0</formula>
    </cfRule>
  </conditionalFormatting>
  <conditionalFormatting sqref="K20">
    <cfRule type="expression" priority="38" aboveAverage="0" equalAverage="0" bottom="0" percent="0" rank="0" text="" dxfId="423">
      <formula>L20&gt;0</formula>
    </cfRule>
    <cfRule type="expression" priority="39" aboveAverage="0" equalAverage="0" bottom="0" percent="0" rank="0" text="" dxfId="424">
      <formula>L20&lt;0</formula>
    </cfRule>
  </conditionalFormatting>
  <conditionalFormatting sqref="K19">
    <cfRule type="expression" priority="40" aboveAverage="0" equalAverage="0" bottom="0" percent="0" rank="0" text="" dxfId="425">
      <formula>L19&gt;0</formula>
    </cfRule>
    <cfRule type="expression" priority="41" aboveAverage="0" equalAverage="0" bottom="0" percent="0" rank="0" text="" dxfId="426">
      <formula>L19&lt;0</formula>
    </cfRule>
  </conditionalFormatting>
  <conditionalFormatting sqref="K17:K18">
    <cfRule type="expression" priority="42" aboveAverage="0" equalAverage="0" bottom="0" percent="0" rank="0" text="" dxfId="427">
      <formula>L17&gt;0</formula>
    </cfRule>
    <cfRule type="expression" priority="43" aboveAverage="0" equalAverage="0" bottom="0" percent="0" rank="0" text="" dxfId="428">
      <formula>L17&lt;0</formula>
    </cfRule>
  </conditionalFormatting>
  <conditionalFormatting sqref="K16">
    <cfRule type="expression" priority="44" aboveAverage="0" equalAverage="0" bottom="0" percent="0" rank="0" text="" dxfId="429">
      <formula>L16&gt;0</formula>
    </cfRule>
    <cfRule type="expression" priority="45" aboveAverage="0" equalAverage="0" bottom="0" percent="0" rank="0" text="" dxfId="430">
      <formula>L16&lt;0</formula>
    </cfRule>
  </conditionalFormatting>
  <conditionalFormatting sqref="K15">
    <cfRule type="expression" priority="46" aboveAverage="0" equalAverage="0" bottom="0" percent="0" rank="0" text="" dxfId="431">
      <formula>L15&gt;0</formula>
    </cfRule>
    <cfRule type="expression" priority="47" aboveAverage="0" equalAverage="0" bottom="0" percent="0" rank="0" text="" dxfId="432">
      <formula>L15&lt;0</formula>
    </cfRule>
  </conditionalFormatting>
  <conditionalFormatting sqref="K14">
    <cfRule type="expression" priority="48" aboveAverage="0" equalAverage="0" bottom="0" percent="0" rank="0" text="" dxfId="433">
      <formula>L14&gt;0</formula>
    </cfRule>
    <cfRule type="expression" priority="49" aboveAverage="0" equalAverage="0" bottom="0" percent="0" rank="0" text="" dxfId="434">
      <formula>L14&lt;0</formula>
    </cfRule>
  </conditionalFormatting>
  <conditionalFormatting sqref="K13">
    <cfRule type="expression" priority="50" aboveAverage="0" equalAverage="0" bottom="0" percent="0" rank="0" text="" dxfId="435">
      <formula>L13&gt;0</formula>
    </cfRule>
    <cfRule type="expression" priority="51" aboveAverage="0" equalAverage="0" bottom="0" percent="0" rank="0" text="" dxfId="436">
      <formula>L13&lt;0</formula>
    </cfRule>
  </conditionalFormatting>
  <conditionalFormatting sqref="K12">
    <cfRule type="expression" priority="52" aboveAverage="0" equalAverage="0" bottom="0" percent="0" rank="0" text="" dxfId="437">
      <formula>L12&gt;0</formula>
    </cfRule>
    <cfRule type="expression" priority="53" aboveAverage="0" equalAverage="0" bottom="0" percent="0" rank="0" text="" dxfId="438">
      <formula>L12&lt;0</formula>
    </cfRule>
  </conditionalFormatting>
  <conditionalFormatting sqref="K11">
    <cfRule type="expression" priority="54" aboveAverage="0" equalAverage="0" bottom="0" percent="0" rank="0" text="" dxfId="439">
      <formula>L11&gt;0</formula>
    </cfRule>
    <cfRule type="expression" priority="55" aboveAverage="0" equalAverage="0" bottom="0" percent="0" rank="0" text="" dxfId="440">
      <formula>L11&lt;0</formula>
    </cfRule>
  </conditionalFormatting>
  <conditionalFormatting sqref="K10">
    <cfRule type="expression" priority="56" aboveAverage="0" equalAverage="0" bottom="0" percent="0" rank="0" text="" dxfId="441">
      <formula>L10&gt;0</formula>
    </cfRule>
    <cfRule type="expression" priority="57" aboveAverage="0" equalAverage="0" bottom="0" percent="0" rank="0" text="" dxfId="442">
      <formula>L10&lt;0</formula>
    </cfRule>
  </conditionalFormatting>
  <conditionalFormatting sqref="K9">
    <cfRule type="expression" priority="58" aboveAverage="0" equalAverage="0" bottom="0" percent="0" rank="0" text="" dxfId="443">
      <formula>L9&gt;0</formula>
    </cfRule>
    <cfRule type="expression" priority="59" aboveAverage="0" equalAverage="0" bottom="0" percent="0" rank="0" text="" dxfId="444">
      <formula>L9&lt;0</formula>
    </cfRule>
  </conditionalFormatting>
  <conditionalFormatting sqref="K8">
    <cfRule type="expression" priority="60" aboveAverage="0" equalAverage="0" bottom="0" percent="0" rank="0" text="" dxfId="445">
      <formula>L8&gt;0</formula>
    </cfRule>
    <cfRule type="expression" priority="61" aboveAverage="0" equalAverage="0" bottom="0" percent="0" rank="0" text="" dxfId="446">
      <formula>L8&lt;0</formula>
    </cfRule>
  </conditionalFormatting>
  <conditionalFormatting sqref="K7">
    <cfRule type="expression" priority="62" aboveAverage="0" equalAverage="0" bottom="0" percent="0" rank="0" text="" dxfId="447">
      <formula>L7&gt;0</formula>
    </cfRule>
    <cfRule type="expression" priority="63" aboveAverage="0" equalAverage="0" bottom="0" percent="0" rank="0" text="" dxfId="448">
      <formula>L7&lt;0</formula>
    </cfRule>
  </conditionalFormatting>
  <conditionalFormatting sqref="K6">
    <cfRule type="expression" priority="64" aboveAverage="0" equalAverage="0" bottom="0" percent="0" rank="0" text="" dxfId="449">
      <formula>L6&gt;0</formula>
    </cfRule>
    <cfRule type="expression" priority="65" aboveAverage="0" equalAverage="0" bottom="0" percent="0" rank="0" text="" dxfId="450">
      <formula>L6&lt;0</formula>
    </cfRule>
  </conditionalFormatting>
  <conditionalFormatting sqref="K5">
    <cfRule type="expression" priority="66" aboveAverage="0" equalAverage="0" bottom="0" percent="0" rank="0" text="" dxfId="451">
      <formula>L5&gt;0</formula>
    </cfRule>
    <cfRule type="expression" priority="67" aboveAverage="0" equalAverage="0" bottom="0" percent="0" rank="0" text="" dxfId="452">
      <formula>L5&lt;0</formula>
    </cfRule>
  </conditionalFormatting>
  <conditionalFormatting sqref="K41:K42">
    <cfRule type="expression" priority="68" aboveAverage="0" equalAverage="0" bottom="0" percent="0" rank="0" text="" dxfId="453">
      <formula>L45&lt;0</formula>
    </cfRule>
    <cfRule type="expression" priority="69" aboveAverage="0" equalAverage="0" bottom="0" percent="0" rank="0" text="" dxfId="454">
      <formula>L45&gt;0</formula>
    </cfRule>
  </conditionalFormatting>
  <conditionalFormatting sqref="K39">
    <cfRule type="expression" priority="70" aboveAverage="0" equalAverage="0" bottom="0" percent="0" rank="0" text="" dxfId="455">
      <formula>L44&lt;0</formula>
    </cfRule>
    <cfRule type="expression" priority="71" aboveAverage="0" equalAverage="0" bottom="0" percent="0" rank="0" text="" dxfId="456">
      <formula>L44&gt;0</formula>
    </cfRule>
  </conditionalFormatting>
  <conditionalFormatting sqref="K38">
    <cfRule type="expression" priority="72" aboveAverage="0" equalAverage="0" bottom="0" percent="0" rank="0" text="" dxfId="457">
      <formula>L43&lt;0</formula>
    </cfRule>
    <cfRule type="expression" priority="73" aboveAverage="0" equalAverage="0" bottom="0" percent="0" rank="0" text="" dxfId="458">
      <formula>L43&gt;0</formula>
    </cfRule>
  </conditionalFormatting>
  <conditionalFormatting sqref="L30">
    <cfRule type="cellIs" priority="74" operator="lessThan" aboveAverage="0" equalAverage="0" bottom="0" percent="0" rank="0" text="" dxfId="459">
      <formula>0</formula>
    </cfRule>
    <cfRule type="cellIs" priority="75" operator="greaterThan" aboveAverage="0" equalAverage="0" bottom="0" percent="0" rank="0" text="" dxfId="460">
      <formula>0</formula>
    </cfRule>
  </conditionalFormatting>
  <conditionalFormatting sqref="L29">
    <cfRule type="cellIs" priority="76" operator="lessThan" aboveAverage="0" equalAverage="0" bottom="0" percent="0" rank="0" text="" dxfId="461">
      <formula>0</formula>
    </cfRule>
    <cfRule type="cellIs" priority="77" operator="greaterThan" aboveAverage="0" equalAverage="0" bottom="0" percent="0" rank="0" text="" dxfId="462">
      <formula>0</formula>
    </cfRule>
  </conditionalFormatting>
  <conditionalFormatting sqref="L28">
    <cfRule type="cellIs" priority="78" operator="lessThan" aboveAverage="0" equalAverage="0" bottom="0" percent="0" rank="0" text="" dxfId="463">
      <formula>0</formula>
    </cfRule>
    <cfRule type="cellIs" priority="79" operator="greaterThan" aboveAverage="0" equalAverage="0" bottom="0" percent="0" rank="0" text="" dxfId="464">
      <formula>0</formula>
    </cfRule>
  </conditionalFormatting>
  <conditionalFormatting sqref="L27">
    <cfRule type="cellIs" priority="80" operator="lessThan" aboveAverage="0" equalAverage="0" bottom="0" percent="0" rank="0" text="" dxfId="465">
      <formula>0</formula>
    </cfRule>
    <cfRule type="cellIs" priority="81" operator="greaterThan" aboveAverage="0" equalAverage="0" bottom="0" percent="0" rank="0" text="" dxfId="466">
      <formula>0</formula>
    </cfRule>
  </conditionalFormatting>
  <conditionalFormatting sqref="L26">
    <cfRule type="cellIs" priority="82" operator="lessThan" aboveAverage="0" equalAverage="0" bottom="0" percent="0" rank="0" text="" dxfId="467">
      <formula>0</formula>
    </cfRule>
    <cfRule type="cellIs" priority="83" operator="greaterThan" aboveAverage="0" equalAverage="0" bottom="0" percent="0" rank="0" text="" dxfId="468">
      <formula>0</formula>
    </cfRule>
  </conditionalFormatting>
  <conditionalFormatting sqref="L25">
    <cfRule type="cellIs" priority="84" operator="lessThan" aboveAverage="0" equalAverage="0" bottom="0" percent="0" rank="0" text="" dxfId="469">
      <formula>0</formula>
    </cfRule>
    <cfRule type="cellIs" priority="85" operator="greaterThan" aboveAverage="0" equalAverage="0" bottom="0" percent="0" rank="0" text="" dxfId="470">
      <formula>0</formula>
    </cfRule>
  </conditionalFormatting>
  <conditionalFormatting sqref="L6:L39 L42:L44">
    <cfRule type="cellIs" priority="86" operator="greaterThan" aboveAverage="0" equalAverage="0" bottom="0" percent="0" rank="0" text="" dxfId="471">
      <formula>0</formula>
    </cfRule>
    <cfRule type="cellIs" priority="87" operator="lessThan" aboveAverage="0" equalAverage="0" bottom="0" percent="0" rank="0" text="" dxfId="472">
      <formula>0</formula>
    </cfRule>
  </conditionalFormatting>
  <conditionalFormatting sqref="L44">
    <cfRule type="cellIs" priority="88" operator="greaterThan" aboveAverage="0" equalAverage="0" bottom="0" percent="0" rank="0" text="" dxfId="473">
      <formula>0</formula>
    </cfRule>
    <cfRule type="expression" priority="89" aboveAverage="0" equalAverage="0" bottom="0" percent="0" rank="0" text="" dxfId="474">
      <formula>$L$5:$L$43&lt;0</formula>
    </cfRule>
  </conditionalFormatting>
  <conditionalFormatting sqref="L24">
    <cfRule type="cellIs" priority="90" operator="lessThan" aboveAverage="0" equalAverage="0" bottom="0" percent="0" rank="0" text="" dxfId="95">
      <formula>0</formula>
    </cfRule>
    <cfRule type="cellIs" priority="91" operator="greaterThan" aboveAverage="0" equalAverage="0" bottom="0" percent="0" rank="0" text="" dxfId="96">
      <formula>0</formula>
    </cfRule>
  </conditionalFormatting>
  <conditionalFormatting sqref="L23">
    <cfRule type="cellIs" priority="92" operator="lessThan" aboveAverage="0" equalAverage="0" bottom="0" percent="0" rank="0" text="" dxfId="97">
      <formula>0</formula>
    </cfRule>
    <cfRule type="cellIs" priority="93" operator="greaterThan" aboveAverage="0" equalAverage="0" bottom="0" percent="0" rank="0" text="" dxfId="98">
      <formula>0</formula>
    </cfRule>
  </conditionalFormatting>
  <conditionalFormatting sqref="L22">
    <cfRule type="cellIs" priority="94" operator="lessThan" aboveAverage="0" equalAverage="0" bottom="0" percent="0" rank="0" text="" dxfId="99">
      <formula>0</formula>
    </cfRule>
    <cfRule type="cellIs" priority="95" operator="greaterThan" aboveAverage="0" equalAverage="0" bottom="0" percent="0" rank="0" text="" dxfId="100">
      <formula>0</formula>
    </cfRule>
  </conditionalFormatting>
  <conditionalFormatting sqref="L21">
    <cfRule type="cellIs" priority="96" operator="lessThan" aboveAverage="0" equalAverage="0" bottom="0" percent="0" rank="0" text="" dxfId="101">
      <formula>0</formula>
    </cfRule>
    <cfRule type="cellIs" priority="97" operator="greaterThan" aboveAverage="0" equalAverage="0" bottom="0" percent="0" rank="0" text="" dxfId="102">
      <formula>0</formula>
    </cfRule>
  </conditionalFormatting>
  <conditionalFormatting sqref="L20">
    <cfRule type="cellIs" priority="98" operator="lessThan" aboveAverage="0" equalAverage="0" bottom="0" percent="0" rank="0" text="" dxfId="103">
      <formula>0</formula>
    </cfRule>
    <cfRule type="cellIs" priority="99" operator="greaterThan" aboveAverage="0" equalAverage="0" bottom="0" percent="0" rank="0" text="" dxfId="104">
      <formula>0</formula>
    </cfRule>
  </conditionalFormatting>
  <conditionalFormatting sqref="L13">
    <cfRule type="cellIs" priority="100" operator="lessThan" aboveAverage="0" equalAverage="0" bottom="0" percent="0" rank="0" text="" dxfId="105">
      <formula>0</formula>
    </cfRule>
    <cfRule type="cellIs" priority="101" operator="greaterThan" aboveAverage="0" equalAverage="0" bottom="0" percent="0" rank="0" text="" dxfId="106">
      <formula>0</formula>
    </cfRule>
  </conditionalFormatting>
  <conditionalFormatting sqref="L12">
    <cfRule type="cellIs" priority="102" operator="lessThan" aboveAverage="0" equalAverage="0" bottom="0" percent="0" rank="0" text="" dxfId="107">
      <formula>0</formula>
    </cfRule>
    <cfRule type="cellIs" priority="103" operator="greaterThan" aboveAverage="0" equalAverage="0" bottom="0" percent="0" rank="0" text="" dxfId="108">
      <formula>0</formula>
    </cfRule>
  </conditionalFormatting>
  <conditionalFormatting sqref="L11">
    <cfRule type="cellIs" priority="104" operator="lessThan" aboveAverage="0" equalAverage="0" bottom="0" percent="0" rank="0" text="" dxfId="109">
      <formula>0</formula>
    </cfRule>
    <cfRule type="cellIs" priority="105" operator="greaterThan" aboveAverage="0" equalAverage="0" bottom="0" percent="0" rank="0" text="" dxfId="110">
      <formula>0</formula>
    </cfRule>
  </conditionalFormatting>
  <conditionalFormatting sqref="L10">
    <cfRule type="cellIs" priority="106" operator="lessThan" aboveAverage="0" equalAverage="0" bottom="0" percent="0" rank="0" text="" dxfId="111">
      <formula>0</formula>
    </cfRule>
    <cfRule type="cellIs" priority="107" operator="greaterThan" aboveAverage="0" equalAverage="0" bottom="0" percent="0" rank="0" text="" dxfId="112">
      <formula>0</formula>
    </cfRule>
  </conditionalFormatting>
  <conditionalFormatting sqref="L9">
    <cfRule type="cellIs" priority="108" operator="lessThan" aboveAverage="0" equalAverage="0" bottom="0" percent="0" rank="0" text="" dxfId="113">
      <formula>0</formula>
    </cfRule>
    <cfRule type="cellIs" priority="109" operator="greaterThan" aboveAverage="0" equalAverage="0" bottom="0" percent="0" rank="0" text="" dxfId="114">
      <formula>0</formula>
    </cfRule>
  </conditionalFormatting>
  <conditionalFormatting sqref="L8">
    <cfRule type="cellIs" priority="110" operator="lessThan" aboveAverage="0" equalAverage="0" bottom="0" percent="0" rank="0" text="" dxfId="115">
      <formula>0</formula>
    </cfRule>
    <cfRule type="cellIs" priority="111" operator="greaterThan" aboveAverage="0" equalAverage="0" bottom="0" percent="0" rank="0" text="" dxfId="116">
      <formula>0</formula>
    </cfRule>
  </conditionalFormatting>
  <conditionalFormatting sqref="L7">
    <cfRule type="cellIs" priority="112" operator="lessThan" aboveAverage="0" equalAverage="0" bottom="0" percent="0" rank="0" text="" dxfId="117">
      <formula>0</formula>
    </cfRule>
    <cfRule type="cellIs" priority="113" operator="greaterThan" aboveAverage="0" equalAverage="0" bottom="0" percent="0" rank="0" text="" dxfId="118">
      <formula>0</formula>
    </cfRule>
  </conditionalFormatting>
  <conditionalFormatting sqref="L6">
    <cfRule type="cellIs" priority="114" operator="lessThan" aboveAverage="0" equalAverage="0" bottom="0" percent="0" rank="0" text="" dxfId="119">
      <formula>0</formula>
    </cfRule>
    <cfRule type="cellIs" priority="115" operator="greaterThan" aboveAverage="0" equalAverage="0" bottom="0" percent="0" rank="0" text="" dxfId="120">
      <formula>0</formula>
    </cfRule>
  </conditionalFormatting>
  <conditionalFormatting sqref="L5">
    <cfRule type="cellIs" priority="116" operator="lessThan" aboveAverage="0" equalAverage="0" bottom="0" percent="0" rank="0" text="" dxfId="121">
      <formula>0</formula>
    </cfRule>
    <cfRule type="cellIs" priority="117" operator="greaterThan" aboveAverage="0" equalAverage="0" bottom="0" percent="0" rank="0" text="" dxfId="122">
      <formula>0</formula>
    </cfRule>
  </conditionalFormatting>
  <conditionalFormatting sqref="L5:L24">
    <cfRule type="cellIs" priority="118" operator="greaterThan" aboveAverage="0" equalAverage="0" bottom="0" percent="0" rank="0" text="" dxfId="123">
      <formula>0</formula>
    </cfRule>
    <cfRule type="cellIs" priority="119" operator="lessThan" aboveAverage="0" equalAverage="0" bottom="0" percent="0" rank="0" text="" dxfId="124">
      <formula>0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048576"/>
  <sheetViews>
    <sheetView showFormulas="false" showGridLines="true" showRowColHeaders="true" showZeros="true" rightToLeft="false" tabSelected="false" showOutlineSymbols="true" defaultGridColor="true" view="normal" topLeftCell="A22" colorId="64" zoomScale="100" zoomScaleNormal="100" zoomScalePageLayoutView="100" workbookViewId="0">
      <selection pane="topLeft" activeCell="I2" activeCellId="0" sqref="I2"/>
    </sheetView>
  </sheetViews>
  <sheetFormatPr defaultColWidth="11.4453125" defaultRowHeight="13.8" zeroHeight="false" outlineLevelRow="0" outlineLevelCol="0"/>
  <cols>
    <col collapsed="false" customWidth="true" hidden="false" outlineLevel="0" max="1" min="1" style="1" width="13.88"/>
    <col collapsed="false" customWidth="false" hidden="false" outlineLevel="0" max="3" min="2" style="1" width="11.44"/>
    <col collapsed="false" customWidth="true" hidden="false" outlineLevel="0" max="4" min="4" style="1" width="25.88"/>
    <col collapsed="false" customWidth="true" hidden="false" outlineLevel="0" max="5" min="5" style="1" width="12.88"/>
    <col collapsed="false" customWidth="true" hidden="false" outlineLevel="0" max="6" min="6" style="1" width="8.88"/>
    <col collapsed="false" customWidth="false" hidden="false" outlineLevel="0" max="7" min="7" style="1" width="11.44"/>
    <col collapsed="false" customWidth="true" hidden="false" outlineLevel="0" max="8" min="8" style="1" width="15.56"/>
    <col collapsed="false" customWidth="false" hidden="false" outlineLevel="0" max="10" min="9" style="1" width="11.44"/>
    <col collapsed="false" customWidth="true" hidden="false" outlineLevel="0" max="11" min="11" style="1" width="25.67"/>
    <col collapsed="false" customWidth="true" hidden="false" outlineLevel="0" max="12" min="12" style="1" width="11.56"/>
    <col collapsed="false" customWidth="false" hidden="false" outlineLevel="0" max="13" min="13" style="1" width="11.44"/>
    <col collapsed="false" customWidth="true" hidden="false" outlineLevel="0" max="14" min="14" style="1" width="25.56"/>
    <col collapsed="false" customWidth="false" hidden="false" outlineLevel="0" max="16384" min="15" style="1" width="11.44"/>
  </cols>
  <sheetData>
    <row r="1" customFormat="false" ht="14.25" hidden="false" customHeight="false" outlineLevel="0" collapsed="false">
      <c r="A1" s="2" t="s">
        <v>0</v>
      </c>
      <c r="B1" s="3"/>
      <c r="D1" s="4" t="s">
        <v>1</v>
      </c>
      <c r="E1" s="3" t="n">
        <f aca="false">SUM(C5:C68)+SUM(B5:B68)-SUMIF(Tableau3214[Raison],"Salaire",Tableau3214[Crédit])</f>
        <v>0</v>
      </c>
      <c r="F1" s="5"/>
      <c r="G1" s="6"/>
      <c r="H1" s="4" t="s">
        <v>48</v>
      </c>
      <c r="I1" s="3" t="n">
        <f aca="false">IF(SUMIF(Tableau3214[Raison],"Salaire",Tableau3214[Crédit])=0,2200,SUMIF(Tableau3214[Raison],"Salaire",Tableau3214[Crédit]))</f>
        <v>2200</v>
      </c>
    </row>
    <row r="2" customFormat="false" ht="15" hidden="false" customHeight="false" outlineLevel="0" collapsed="false">
      <c r="A2" s="2" t="s">
        <v>3</v>
      </c>
      <c r="B2" s="3"/>
      <c r="D2" s="4" t="s">
        <v>4</v>
      </c>
      <c r="E2" s="3" t="n">
        <f aca="false">I1+E1</f>
        <v>2200</v>
      </c>
      <c r="F2" s="7"/>
      <c r="G2" s="8" t="n">
        <f aca="false">(100/I1)*E2/100</f>
        <v>1</v>
      </c>
    </row>
    <row r="3" customFormat="false" ht="14.25" hidden="false" customHeight="false" outlineLevel="0" collapsed="false">
      <c r="F3" s="9"/>
    </row>
    <row r="4" customFormat="false" ht="13.8" hidden="false" customHeight="false" outlineLevel="0" collapsed="false">
      <c r="A4" s="10" t="s">
        <v>5</v>
      </c>
      <c r="B4" s="11" t="s">
        <v>6</v>
      </c>
      <c r="C4" s="12" t="s">
        <v>7</v>
      </c>
      <c r="D4" s="13" t="s">
        <v>8</v>
      </c>
      <c r="E4" s="14" t="s">
        <v>9</v>
      </c>
      <c r="F4" s="15" t="s">
        <v>10</v>
      </c>
      <c r="K4" s="16" t="s">
        <v>11</v>
      </c>
      <c r="L4" s="17" t="s">
        <v>12</v>
      </c>
    </row>
    <row r="5" customFormat="false" ht="13.8" hidden="false" customHeight="false" outlineLevel="0" collapsed="false">
      <c r="A5" s="28"/>
      <c r="B5" s="19"/>
      <c r="C5" s="20"/>
      <c r="D5" s="21"/>
      <c r="E5" s="22" t="str">
        <f aca="false">IF(F5="X",B1+C5+B5,"")</f>
        <v/>
      </c>
      <c r="F5" s="23"/>
      <c r="K5" s="24"/>
      <c r="L5" s="25" t="n">
        <f aca="false">IF(K5&lt;&gt;"",SUMIF($D$5:$D$55,K5,$C$5:$C$55)+SUMIF($D$5:$D$55,K5,$B$5:$B$55))</f>
        <v>0</v>
      </c>
    </row>
    <row r="6" customFormat="false" ht="13.8" hidden="false" customHeight="false" outlineLevel="0" collapsed="false">
      <c r="A6" s="28"/>
      <c r="B6" s="19"/>
      <c r="C6" s="20"/>
      <c r="D6" s="21"/>
      <c r="E6" s="22" t="str">
        <f aca="false">IF(F6="X",E5+C6+B6,"")</f>
        <v/>
      </c>
      <c r="F6" s="23"/>
      <c r="K6" s="26"/>
      <c r="L6" s="25" t="str">
        <f aca="false">IF(K6&lt;&gt;"",SUMIF($D$5:$D$55,K6,$C$5:$C$55)+SUMIF($D$5:$D$55,K6,$B$5:$B$55),"")</f>
        <v/>
      </c>
    </row>
    <row r="7" customFormat="false" ht="13.8" hidden="false" customHeight="false" outlineLevel="0" collapsed="false">
      <c r="A7" s="28"/>
      <c r="B7" s="19"/>
      <c r="C7" s="20"/>
      <c r="D7" s="21"/>
      <c r="E7" s="22" t="str">
        <f aca="false">IF(F7="X",E6+C7+B7,"")</f>
        <v/>
      </c>
      <c r="F7" s="23"/>
      <c r="K7" s="26"/>
      <c r="L7" s="25" t="str">
        <f aca="false">IF(K7&lt;&gt;"",SUMIF($D$5:$D$55,K7,$C$5:$C$55)+SUMIF($D$5:$D$55,K7,$B$5:$B$55),"")</f>
        <v/>
      </c>
    </row>
    <row r="8" customFormat="false" ht="13.8" hidden="false" customHeight="false" outlineLevel="0" collapsed="false">
      <c r="A8" s="28"/>
      <c r="B8" s="19"/>
      <c r="C8" s="20"/>
      <c r="D8" s="21"/>
      <c r="E8" s="22" t="str">
        <f aca="false">IF(F8="X",E7+C8+B8,"")</f>
        <v/>
      </c>
      <c r="F8" s="23"/>
      <c r="K8" s="26"/>
      <c r="L8" s="25" t="str">
        <f aca="false">IF(K8&lt;&gt;"",SUMIF($D$5:$D$55,K8,$C$5:$C$55)+SUMIF($D$5:$D$55,K8,$B$5:$B$55),"")</f>
        <v/>
      </c>
    </row>
    <row r="9" customFormat="false" ht="13.8" hidden="false" customHeight="false" outlineLevel="0" collapsed="false">
      <c r="A9" s="28"/>
      <c r="B9" s="19"/>
      <c r="C9" s="20"/>
      <c r="D9" s="21"/>
      <c r="E9" s="22" t="str">
        <f aca="false">IF(F9="X",E8+C9+B9,"")</f>
        <v/>
      </c>
      <c r="F9" s="23"/>
      <c r="K9" s="26"/>
      <c r="L9" s="25" t="str">
        <f aca="false">IF(K9&lt;&gt;"",SUMIF($D$5:$D$55,K9,$C$5:$C$55)+SUMIF($D$5:$D$55,K9,$B$5:$B$55),"")</f>
        <v/>
      </c>
    </row>
    <row r="10" customFormat="false" ht="13.8" hidden="false" customHeight="false" outlineLevel="0" collapsed="false">
      <c r="A10" s="28"/>
      <c r="B10" s="19"/>
      <c r="C10" s="20"/>
      <c r="D10" s="21"/>
      <c r="E10" s="22" t="str">
        <f aca="false">IF(F10="X",E9+C10+B10,"")</f>
        <v/>
      </c>
      <c r="F10" s="23"/>
      <c r="K10" s="26"/>
      <c r="L10" s="25" t="str">
        <f aca="false">IF(K10&lt;&gt;"",SUMIF($D$5:$D$55,K10,$C$5:$C$55)+SUMIF($D$5:$D$55,K10,$B$5:$B$55),"")</f>
        <v/>
      </c>
    </row>
    <row r="11" customFormat="false" ht="13.8" hidden="false" customHeight="false" outlineLevel="0" collapsed="false">
      <c r="A11" s="28"/>
      <c r="B11" s="30"/>
      <c r="C11" s="31"/>
      <c r="D11" s="21"/>
      <c r="E11" s="22" t="str">
        <f aca="false">IF(F11="X",E10+C11+B11,"")</f>
        <v/>
      </c>
      <c r="F11" s="23"/>
      <c r="K11" s="26"/>
      <c r="L11" s="25" t="str">
        <f aca="false">IF(K11&lt;&gt;"",SUMIF($D$5:$D$55,K11,$C$5:$C$55)+SUMIF($D$5:$D$55,K11,$B$5:$B$55),"")</f>
        <v/>
      </c>
    </row>
    <row r="12" customFormat="false" ht="13.8" hidden="false" customHeight="false" outlineLevel="0" collapsed="false">
      <c r="A12" s="28"/>
      <c r="B12" s="19"/>
      <c r="C12" s="20"/>
      <c r="D12" s="21"/>
      <c r="E12" s="22" t="str">
        <f aca="false">IF(F12="X",E11+C12+B12,"")</f>
        <v/>
      </c>
      <c r="F12" s="23"/>
      <c r="K12" s="26"/>
      <c r="L12" s="25" t="str">
        <f aca="false">IF(K12&lt;&gt;"",SUMIF($D$5:$D$55,K12,$C$5:$C$55)+SUMIF($D$5:$D$55,K12,$B$5:$B$55),"")</f>
        <v/>
      </c>
    </row>
    <row r="13" customFormat="false" ht="13.8" hidden="false" customHeight="false" outlineLevel="0" collapsed="false">
      <c r="A13" s="28"/>
      <c r="B13" s="19"/>
      <c r="C13" s="31"/>
      <c r="D13" s="21"/>
      <c r="E13" s="22" t="str">
        <f aca="false">IF(F13="X",E12+C13+B13,"")</f>
        <v/>
      </c>
      <c r="F13" s="23"/>
      <c r="K13" s="26"/>
      <c r="L13" s="25" t="str">
        <f aca="false">IF(K13&lt;&gt;"",SUMIF($D$5:$D$55,K13,$C$5:$C$55)+SUMIF($D$5:$D$55,K13,$B$5:$B$55),"")</f>
        <v/>
      </c>
    </row>
    <row r="14" customFormat="false" ht="13.8" hidden="false" customHeight="false" outlineLevel="0" collapsed="false">
      <c r="A14" s="28"/>
      <c r="B14" s="19"/>
      <c r="C14" s="20"/>
      <c r="D14" s="21"/>
      <c r="E14" s="22" t="str">
        <f aca="false">IF(F14="X",E13+C14+B14,"")</f>
        <v/>
      </c>
      <c r="F14" s="37"/>
      <c r="K14" s="26"/>
      <c r="L14" s="25" t="str">
        <f aca="false">IF(K14&lt;&gt;"",SUMIF($D$5:$D$55,K14,$C$5:$C$55)+SUMIF($D$5:$D$55,K14,$B$5:$B$55),"")</f>
        <v/>
      </c>
    </row>
    <row r="15" customFormat="false" ht="13.8" hidden="false" customHeight="false" outlineLevel="0" collapsed="false">
      <c r="A15" s="28"/>
      <c r="B15" s="19"/>
      <c r="C15" s="20"/>
      <c r="D15" s="21"/>
      <c r="E15" s="22" t="str">
        <f aca="false">IF(F15="X",E14+C15+B15,"")</f>
        <v/>
      </c>
      <c r="F15" s="37"/>
      <c r="K15" s="26"/>
      <c r="L15" s="25" t="str">
        <f aca="false">IF(K15&lt;&gt;"",SUMIF($D$5:$D$55,K15,$C$5:$C$55)+SUMIF($D$5:$D$55,K15,$B$5:$B$55),"")</f>
        <v/>
      </c>
    </row>
    <row r="16" customFormat="false" ht="13.8" hidden="false" customHeight="false" outlineLevel="0" collapsed="false">
      <c r="A16" s="28"/>
      <c r="B16" s="19"/>
      <c r="C16" s="20"/>
      <c r="D16" s="21"/>
      <c r="E16" s="22" t="str">
        <f aca="false">IF(F16="X",E15+C16+B16,"")</f>
        <v/>
      </c>
      <c r="F16" s="23"/>
      <c r="K16" s="26"/>
      <c r="L16" s="25" t="str">
        <f aca="false">IF(K16&lt;&gt;"",SUMIF($D$5:$D$55,K16,$C$5:$C$55)+SUMIF($D$5:$D$55,K16,$B$5:$B$55),"")</f>
        <v/>
      </c>
    </row>
    <row r="17" customFormat="false" ht="13.8" hidden="false" customHeight="false" outlineLevel="0" collapsed="false">
      <c r="A17" s="28"/>
      <c r="B17" s="19"/>
      <c r="C17" s="20"/>
      <c r="D17" s="21"/>
      <c r="E17" s="22" t="str">
        <f aca="false">IF(F17="X",E16+C17+B17,"")</f>
        <v/>
      </c>
      <c r="F17" s="23"/>
      <c r="K17" s="26"/>
      <c r="L17" s="25" t="str">
        <f aca="false">IF(K17&lt;&gt;"",SUMIF($D$5:$D$55,K17,$C$5:$C$55)+SUMIF($D$5:$D$55,K17,$B$5:$B$55),"")</f>
        <v/>
      </c>
    </row>
    <row r="18" customFormat="false" ht="13.8" hidden="false" customHeight="false" outlineLevel="0" collapsed="false">
      <c r="A18" s="28"/>
      <c r="B18" s="19"/>
      <c r="C18" s="20"/>
      <c r="D18" s="21"/>
      <c r="E18" s="22" t="str">
        <f aca="false">IF(F18="X",E17+C18+B18,"")</f>
        <v/>
      </c>
      <c r="F18" s="23"/>
      <c r="K18" s="26"/>
      <c r="L18" s="25" t="str">
        <f aca="false">IF(K18&lt;&gt;"",SUMIF($D$5:$D$55,K18,$C$5:$C$55)+SUMIF($D$5:$D$55,K18,$B$5:$B$55),"")</f>
        <v/>
      </c>
    </row>
    <row r="19" customFormat="false" ht="13.8" hidden="false" customHeight="false" outlineLevel="0" collapsed="false">
      <c r="A19" s="28"/>
      <c r="B19" s="19"/>
      <c r="C19" s="20"/>
      <c r="D19" s="21"/>
      <c r="E19" s="22" t="str">
        <f aca="false">IF(F19="X",E18+C19+B19,"")</f>
        <v/>
      </c>
      <c r="F19" s="23"/>
      <c r="K19" s="26"/>
      <c r="L19" s="25" t="str">
        <f aca="false">IF(K19&lt;&gt;"",SUMIF($D$5:$D$55,K19,$C$5:$C$55)+SUMIF($D$5:$D$55,K19,$B$5:$B$55),"")</f>
        <v/>
      </c>
    </row>
    <row r="20" customFormat="false" ht="13.8" hidden="false" customHeight="false" outlineLevel="0" collapsed="false">
      <c r="A20" s="28"/>
      <c r="B20" s="19"/>
      <c r="C20" s="20"/>
      <c r="D20" s="21"/>
      <c r="E20" s="22" t="str">
        <f aca="false">IF(F20="X",E19+C20+B20,"")</f>
        <v/>
      </c>
      <c r="F20" s="23"/>
      <c r="K20" s="26"/>
      <c r="L20" s="25" t="str">
        <f aca="false">IF(K20&lt;&gt;"",SUMIF($D$5:$D$55,K20,$C$5:$C$55)+SUMIF($D$5:$D$55,K20,$B$5:$B$55),"")</f>
        <v/>
      </c>
    </row>
    <row r="21" customFormat="false" ht="13.8" hidden="false" customHeight="false" outlineLevel="0" collapsed="false">
      <c r="A21" s="28"/>
      <c r="B21" s="19"/>
      <c r="C21" s="20"/>
      <c r="D21" s="21"/>
      <c r="E21" s="22" t="str">
        <f aca="false">IF(F21="X",E20+C21+B21,"")</f>
        <v/>
      </c>
      <c r="F21" s="23"/>
      <c r="K21" s="26"/>
      <c r="L21" s="25" t="str">
        <f aca="false">IF(K21&lt;&gt;"",SUMIF($D$5:$D$55,K21,$C$5:$C$55)+SUMIF($D$5:$D$55,K21,$B$5:$B$55),"")</f>
        <v/>
      </c>
    </row>
    <row r="22" customFormat="false" ht="13.8" hidden="false" customHeight="false" outlineLevel="0" collapsed="false">
      <c r="A22" s="28"/>
      <c r="B22" s="19"/>
      <c r="C22" s="20"/>
      <c r="D22" s="21"/>
      <c r="E22" s="22" t="str">
        <f aca="false">IF(F22="X",E21+C22+B22,"")</f>
        <v/>
      </c>
      <c r="F22" s="23"/>
      <c r="K22" s="26"/>
      <c r="L22" s="25" t="str">
        <f aca="false">IF(K22&lt;&gt;"",SUMIF($D$5:$D$55,K22,$C$5:$C$55)+SUMIF($D$5:$D$55,K22,$B$5:$B$55),"")</f>
        <v/>
      </c>
    </row>
    <row r="23" customFormat="false" ht="13.8" hidden="false" customHeight="false" outlineLevel="0" collapsed="false">
      <c r="A23" s="28"/>
      <c r="B23" s="19"/>
      <c r="C23" s="20"/>
      <c r="D23" s="21"/>
      <c r="E23" s="22" t="str">
        <f aca="false">IF(F23="X",E22+C23+B23,"")</f>
        <v/>
      </c>
      <c r="F23" s="23"/>
      <c r="K23" s="26"/>
      <c r="L23" s="25" t="str">
        <f aca="false">IF(K23&lt;&gt;"",SUMIF($D$5:$D$55,K23,$C$5:$C$55)+SUMIF($D$5:$D$55,K23,$B$5:$B$55),"")</f>
        <v/>
      </c>
    </row>
    <row r="24" customFormat="false" ht="13.8" hidden="false" customHeight="false" outlineLevel="0" collapsed="false">
      <c r="A24" s="28"/>
      <c r="B24" s="19"/>
      <c r="C24" s="20"/>
      <c r="D24" s="21"/>
      <c r="E24" s="22" t="str">
        <f aca="false">IF(F24="X",E23+C24+B24,"")</f>
        <v/>
      </c>
      <c r="F24" s="23"/>
      <c r="K24" s="26"/>
      <c r="L24" s="25" t="str">
        <f aca="false">IF(K24&lt;&gt;"",SUMIF($D$5:$D$55,K24,$C$5:$C$55)+SUMIF($D$5:$D$55,K24,$B$5:$B$55),"")</f>
        <v/>
      </c>
    </row>
    <row r="25" customFormat="false" ht="13.8" hidden="false" customHeight="false" outlineLevel="0" collapsed="false">
      <c r="A25" s="28"/>
      <c r="B25" s="19"/>
      <c r="C25" s="20"/>
      <c r="D25" s="21"/>
      <c r="E25" s="22" t="str">
        <f aca="false">IF(F25="X",E24+C25+B25,"")</f>
        <v/>
      </c>
      <c r="F25" s="23"/>
      <c r="K25" s="26"/>
      <c r="L25" s="29"/>
    </row>
    <row r="26" customFormat="false" ht="13.8" hidden="false" customHeight="false" outlineLevel="0" collapsed="false">
      <c r="A26" s="28"/>
      <c r="B26" s="19"/>
      <c r="C26" s="20"/>
      <c r="D26" s="21"/>
      <c r="E26" s="22" t="str">
        <f aca="false">IF(F26="X",E25+C26+B26,"")</f>
        <v/>
      </c>
      <c r="F26" s="23"/>
      <c r="K26" s="26"/>
      <c r="L26" s="29"/>
    </row>
    <row r="27" customFormat="false" ht="13.8" hidden="false" customHeight="false" outlineLevel="0" collapsed="false">
      <c r="A27" s="28"/>
      <c r="B27" s="19"/>
      <c r="C27" s="20"/>
      <c r="D27" s="21"/>
      <c r="E27" s="22" t="str">
        <f aca="false">IF(F27="X",E26+C27+B27,"")</f>
        <v/>
      </c>
      <c r="F27" s="23"/>
      <c r="K27" s="26"/>
      <c r="L27" s="29"/>
    </row>
    <row r="28" customFormat="false" ht="13.8" hidden="false" customHeight="false" outlineLevel="0" collapsed="false">
      <c r="A28" s="28"/>
      <c r="B28" s="19"/>
      <c r="C28" s="20"/>
      <c r="D28" s="21"/>
      <c r="E28" s="22" t="str">
        <f aca="false">IF(F28="X",E27+C28+B28,"")</f>
        <v/>
      </c>
      <c r="F28" s="23"/>
      <c r="K28" s="26"/>
      <c r="L28" s="29"/>
    </row>
    <row r="29" customFormat="false" ht="13.8" hidden="false" customHeight="false" outlineLevel="0" collapsed="false">
      <c r="A29" s="28"/>
      <c r="B29" s="19"/>
      <c r="C29" s="20"/>
      <c r="D29" s="21"/>
      <c r="E29" s="22" t="str">
        <f aca="false">IF(F29="X",E28+C29+B29,"")</f>
        <v/>
      </c>
      <c r="F29" s="23"/>
      <c r="K29" s="26"/>
      <c r="L29" s="29"/>
    </row>
    <row r="30" customFormat="false" ht="13.8" hidden="false" customHeight="false" outlineLevel="0" collapsed="false">
      <c r="A30" s="28"/>
      <c r="B30" s="19"/>
      <c r="C30" s="20"/>
      <c r="D30" s="21"/>
      <c r="E30" s="22" t="str">
        <f aca="false">IF(F30="X",E29+C30+B30,"")</f>
        <v/>
      </c>
      <c r="F30" s="23"/>
      <c r="K30" s="26"/>
      <c r="L30" s="29"/>
    </row>
    <row r="31" customFormat="false" ht="13.8" hidden="false" customHeight="false" outlineLevel="0" collapsed="false">
      <c r="A31" s="28"/>
      <c r="B31" s="19"/>
      <c r="C31" s="20"/>
      <c r="D31" s="21"/>
      <c r="E31" s="22" t="str">
        <f aca="false">IF(F31="X",E30+C31+B31,"")</f>
        <v/>
      </c>
      <c r="F31" s="23"/>
      <c r="K31" s="26"/>
      <c r="L31" s="29"/>
    </row>
    <row r="32" customFormat="false" ht="13.8" hidden="false" customHeight="false" outlineLevel="0" collapsed="false">
      <c r="A32" s="18"/>
      <c r="B32" s="19"/>
      <c r="C32" s="20"/>
      <c r="D32" s="21"/>
      <c r="E32" s="22" t="str">
        <f aca="false">IF(F32="X",E31+C32+B32,"")</f>
        <v/>
      </c>
      <c r="F32" s="23"/>
      <c r="K32" s="26"/>
      <c r="L32" s="29"/>
    </row>
    <row r="33" customFormat="false" ht="13.8" hidden="false" customHeight="false" outlineLevel="0" collapsed="false">
      <c r="A33" s="18"/>
      <c r="B33" s="19"/>
      <c r="C33" s="20"/>
      <c r="D33" s="21"/>
      <c r="E33" s="22" t="str">
        <f aca="false">IF(F33="X",E32+C33+B33,"")</f>
        <v/>
      </c>
      <c r="F33" s="23"/>
      <c r="K33" s="26"/>
      <c r="L33" s="29"/>
    </row>
    <row r="34" customFormat="false" ht="13.8" hidden="false" customHeight="false" outlineLevel="0" collapsed="false">
      <c r="A34" s="18"/>
      <c r="B34" s="19"/>
      <c r="C34" s="20"/>
      <c r="D34" s="21"/>
      <c r="E34" s="22" t="str">
        <f aca="false">IF(F34="X",E33+C34+B34,"")</f>
        <v/>
      </c>
      <c r="F34" s="23"/>
      <c r="K34" s="26"/>
      <c r="L34" s="29"/>
    </row>
    <row r="35" customFormat="false" ht="13.8" hidden="false" customHeight="false" outlineLevel="0" collapsed="false">
      <c r="A35" s="18"/>
      <c r="B35" s="19"/>
      <c r="C35" s="20"/>
      <c r="D35" s="21"/>
      <c r="E35" s="22" t="str">
        <f aca="false">IF(F35="X",E34+C35+B35,"")</f>
        <v/>
      </c>
      <c r="F35" s="23"/>
      <c r="K35" s="65"/>
      <c r="L35" s="66"/>
    </row>
    <row r="36" customFormat="false" ht="13.8" hidden="false" customHeight="false" outlineLevel="0" collapsed="false">
      <c r="A36" s="18"/>
      <c r="B36" s="19"/>
      <c r="C36" s="20"/>
      <c r="D36" s="21"/>
      <c r="E36" s="22" t="str">
        <f aca="false">IF(F36="X",E35+C36+B36,"")</f>
        <v/>
      </c>
      <c r="F36" s="23"/>
      <c r="K36" s="65"/>
      <c r="L36" s="66"/>
    </row>
    <row r="37" customFormat="false" ht="13.8" hidden="false" customHeight="false" outlineLevel="0" collapsed="false">
      <c r="A37" s="18"/>
      <c r="B37" s="19"/>
      <c r="C37" s="20"/>
      <c r="D37" s="21"/>
      <c r="E37" s="22" t="str">
        <f aca="false">IF(F37="X",E36+C37+B37,"")</f>
        <v/>
      </c>
      <c r="F37" s="23"/>
      <c r="K37" s="67" t="s">
        <v>41</v>
      </c>
      <c r="L37" s="68" t="n">
        <f aca="false">SUMIF(D5:D54,"Orange",C5:C54)+SUMIF(D5:D54,"TEGO",C5:C54)+SUMIF(D5:D54,"Carac",C5:C54)+SUMIF(D5:D54,"UNEO",C5:C54)+SUMIF(D5:D54,"Crédit Mutuel",C5:C54)+SUMIF(D5:D54,"Millesime",C5:C54)+SUMIF(D5:D54,"Loyer",C5:C54)+SUMIF(D5:D54,"GoWod",C5:C54)+SUMIF(D5:D54,"EPARMIL",C5:C54)+SUMIF(D5:D54,"Virement Livret Bébé",C5:C54)+SUMIF(D5:D54,"Bouygues",C5:C54)</f>
        <v>0</v>
      </c>
    </row>
    <row r="38" customFormat="false" ht="13.8" hidden="false" customHeight="false" outlineLevel="0" collapsed="false">
      <c r="A38" s="18"/>
      <c r="B38" s="19"/>
      <c r="C38" s="20"/>
      <c r="D38" s="21"/>
      <c r="E38" s="22" t="str">
        <f aca="false">IF(F38="X",E37+C38+B38,"")</f>
        <v/>
      </c>
      <c r="F38" s="23"/>
      <c r="K38" s="35"/>
      <c r="L38" s="29"/>
    </row>
    <row r="39" customFormat="false" ht="13.8" hidden="false" customHeight="false" outlineLevel="0" collapsed="false">
      <c r="A39" s="28"/>
      <c r="B39" s="19"/>
      <c r="C39" s="20"/>
      <c r="D39" s="21"/>
      <c r="E39" s="22" t="str">
        <f aca="false">IF(F39="X",E38+C39+B39,"")</f>
        <v/>
      </c>
      <c r="F39" s="23"/>
      <c r="K39" s="45" t="s">
        <v>12</v>
      </c>
      <c r="L39" s="44" t="n">
        <f aca="false">SUM(L4:L37)</f>
        <v>0</v>
      </c>
    </row>
    <row r="40" customFormat="false" ht="13.8" hidden="false" customHeight="false" outlineLevel="0" collapsed="false">
      <c r="A40" s="28"/>
      <c r="B40" s="19"/>
      <c r="C40" s="20"/>
      <c r="D40" s="21"/>
      <c r="E40" s="22" t="str">
        <f aca="false">IF(F40="X",#REF!+C40+B40,"")</f>
        <v/>
      </c>
      <c r="F40" s="23"/>
      <c r="K40" s="32"/>
      <c r="L40" s="32"/>
    </row>
    <row r="41" customFormat="false" ht="13.8" hidden="false" customHeight="false" outlineLevel="0" collapsed="false">
      <c r="A41" s="28"/>
      <c r="B41" s="19"/>
      <c r="C41" s="20"/>
      <c r="D41" s="21"/>
      <c r="E41" s="22" t="str">
        <f aca="false">IF(F41="X",E40+C41+B41,"")</f>
        <v/>
      </c>
      <c r="F41" s="23"/>
      <c r="K41" s="69"/>
      <c r="L41" s="70"/>
    </row>
    <row r="42" customFormat="false" ht="13.8" hidden="false" customHeight="false" outlineLevel="0" collapsed="false">
      <c r="A42" s="28"/>
      <c r="B42" s="19"/>
      <c r="C42" s="20"/>
      <c r="D42" s="21"/>
      <c r="E42" s="22" t="str">
        <f aca="false">IF(F42="X",E41+C54+B42,"")</f>
        <v/>
      </c>
      <c r="F42" s="23"/>
      <c r="K42" s="71"/>
      <c r="L42" s="71"/>
    </row>
    <row r="43" customFormat="false" ht="13.8" hidden="false" customHeight="false" outlineLevel="0" collapsed="false">
      <c r="A43" s="28"/>
      <c r="B43" s="19"/>
      <c r="C43" s="20"/>
      <c r="D43" s="21"/>
      <c r="E43" s="22" t="str">
        <f aca="false">IF(F43="X",E42+C43+B43,"")</f>
        <v/>
      </c>
      <c r="F43" s="23"/>
      <c r="K43" s="65"/>
      <c r="L43" s="66"/>
    </row>
    <row r="44" customFormat="false" ht="13.8" hidden="false" customHeight="false" outlineLevel="0" collapsed="false">
      <c r="A44" s="28"/>
      <c r="B44" s="19"/>
      <c r="C44" s="20"/>
      <c r="D44" s="21"/>
      <c r="E44" s="22" t="str">
        <f aca="false">IF(F44="X",E43+C44+B44,"")</f>
        <v/>
      </c>
      <c r="F44" s="23"/>
      <c r="K44" s="41"/>
      <c r="L44" s="42"/>
    </row>
    <row r="45" customFormat="false" ht="13.8" hidden="false" customHeight="false" outlineLevel="0" collapsed="false">
      <c r="A45" s="18"/>
      <c r="B45" s="19"/>
      <c r="C45" s="20"/>
      <c r="D45" s="21"/>
      <c r="E45" s="22" t="str">
        <f aca="false">IF(F45="X",E44+C45+B45,"")</f>
        <v/>
      </c>
      <c r="F45" s="23"/>
    </row>
    <row r="46" customFormat="false" ht="13.8" hidden="false" customHeight="false" outlineLevel="0" collapsed="false">
      <c r="A46" s="18"/>
      <c r="B46" s="19"/>
      <c r="C46" s="20"/>
      <c r="D46" s="21"/>
      <c r="E46" s="22" t="str">
        <f aca="false">IF(F46="X",E45+C46+B46,"")</f>
        <v/>
      </c>
      <c r="F46" s="23"/>
    </row>
    <row r="47" customFormat="false" ht="13.8" hidden="false" customHeight="false" outlineLevel="0" collapsed="false">
      <c r="A47" s="28"/>
      <c r="B47" s="19"/>
      <c r="C47" s="20"/>
      <c r="D47" s="21"/>
      <c r="E47" s="22" t="str">
        <f aca="false">IF(F47="X",E46+C47+B47,"")</f>
        <v/>
      </c>
      <c r="F47" s="23"/>
    </row>
    <row r="48" customFormat="false" ht="13.8" hidden="false" customHeight="false" outlineLevel="0" collapsed="false">
      <c r="A48" s="28"/>
      <c r="B48" s="19"/>
      <c r="C48" s="20"/>
      <c r="D48" s="21"/>
      <c r="E48" s="22" t="str">
        <f aca="false">IF(F48="X",E47+C48+B48,"")</f>
        <v/>
      </c>
      <c r="F48" s="23"/>
    </row>
    <row r="49" customFormat="false" ht="13.8" hidden="false" customHeight="false" outlineLevel="0" collapsed="false">
      <c r="A49" s="56"/>
      <c r="B49" s="19"/>
      <c r="C49" s="20"/>
      <c r="D49" s="21"/>
      <c r="E49" s="22" t="str">
        <f aca="false">IF(F49="X",E48+C49+B49,"")</f>
        <v/>
      </c>
      <c r="F49" s="64"/>
    </row>
    <row r="50" customFormat="false" ht="13.8" hidden="false" customHeight="false" outlineLevel="0" collapsed="false">
      <c r="A50" s="56"/>
      <c r="B50" s="19"/>
      <c r="C50" s="20"/>
      <c r="D50" s="21"/>
      <c r="E50" s="22" t="str">
        <f aca="false">IF(F50="X",E49+C50+B50,"")</f>
        <v/>
      </c>
      <c r="F50" s="64"/>
    </row>
    <row r="51" customFormat="false" ht="13.8" hidden="false" customHeight="false" outlineLevel="0" collapsed="false">
      <c r="A51" s="56"/>
      <c r="B51" s="19"/>
      <c r="C51" s="20"/>
      <c r="D51" s="21"/>
      <c r="E51" s="22" t="str">
        <f aca="false">IF(F51="X",E50+C51+B51,"")</f>
        <v/>
      </c>
      <c r="F51" s="64"/>
    </row>
    <row r="52" customFormat="false" ht="13.8" hidden="false" customHeight="false" outlineLevel="0" collapsed="false">
      <c r="A52" s="56"/>
      <c r="B52" s="19"/>
      <c r="C52" s="20"/>
      <c r="D52" s="21"/>
      <c r="E52" s="22" t="str">
        <f aca="false">IF(F52="X",E51+C52+B52,"")</f>
        <v/>
      </c>
      <c r="F52" s="64"/>
    </row>
    <row r="53" customFormat="false" ht="13.8" hidden="false" customHeight="false" outlineLevel="0" collapsed="false">
      <c r="A53" s="56"/>
      <c r="B53" s="19"/>
      <c r="C53" s="20"/>
      <c r="D53" s="21"/>
      <c r="E53" s="22" t="str">
        <f aca="false">IF(F53="X",E52+C53+B53,"")</f>
        <v/>
      </c>
      <c r="F53" s="64"/>
    </row>
    <row r="54" customFormat="false" ht="13.8" hidden="false" customHeight="false" outlineLevel="0" collapsed="false">
      <c r="A54" s="56"/>
      <c r="B54" s="19"/>
      <c r="C54" s="20"/>
      <c r="D54" s="21"/>
      <c r="E54" s="22" t="str">
        <f aca="false">IF(F54="X",E53+C54+B54,"")</f>
        <v/>
      </c>
      <c r="F54" s="64"/>
    </row>
    <row r="55" customFormat="false" ht="13.8" hidden="false" customHeight="false" outlineLevel="0" collapsed="false">
      <c r="A55" s="56"/>
      <c r="B55" s="19"/>
      <c r="C55" s="20"/>
      <c r="D55" s="21"/>
      <c r="E55" s="22" t="str">
        <f aca="false">IF(F55="X",E54+C55+B55,"")</f>
        <v/>
      </c>
      <c r="F55" s="64"/>
    </row>
    <row r="56" customFormat="false" ht="13.8" hidden="false" customHeight="false" outlineLevel="0" collapsed="false">
      <c r="A56" s="56"/>
      <c r="B56" s="19"/>
      <c r="C56" s="20"/>
      <c r="D56" s="21"/>
      <c r="E56" s="22" t="str">
        <f aca="false">IF(F56="X",E55+C56+B56,"")</f>
        <v/>
      </c>
      <c r="F56" s="64"/>
    </row>
    <row r="57" customFormat="false" ht="13.8" hidden="false" customHeight="false" outlineLevel="0" collapsed="false">
      <c r="A57" s="56"/>
      <c r="B57" s="19"/>
      <c r="C57" s="20"/>
      <c r="D57" s="21"/>
      <c r="E57" s="22" t="str">
        <f aca="false">IF(F57="X",E56+C57+B57,"")</f>
        <v/>
      </c>
      <c r="F57" s="64"/>
      <c r="J57" s="36"/>
    </row>
    <row r="58" customFormat="false" ht="13.8" hidden="false" customHeight="false" outlineLevel="0" collapsed="false">
      <c r="A58" s="56"/>
      <c r="B58" s="19"/>
      <c r="C58" s="20"/>
      <c r="D58" s="21"/>
      <c r="E58" s="22" t="str">
        <f aca="false">IF(F58="X",E57+C58+B58,"")</f>
        <v/>
      </c>
      <c r="F58" s="64"/>
    </row>
    <row r="59" customFormat="false" ht="13.8" hidden="false" customHeight="false" outlineLevel="0" collapsed="false">
      <c r="A59" s="56"/>
      <c r="B59" s="19"/>
      <c r="C59" s="20"/>
      <c r="D59" s="21"/>
      <c r="E59" s="22" t="str">
        <f aca="false">IF(F59="X",E58+C59+B59,"")</f>
        <v/>
      </c>
      <c r="F59" s="57"/>
    </row>
    <row r="60" customFormat="false" ht="13.8" hidden="false" customHeight="false" outlineLevel="0" collapsed="false">
      <c r="A60" s="58"/>
      <c r="B60" s="19"/>
      <c r="C60" s="20"/>
      <c r="D60" s="21"/>
      <c r="E60" s="22" t="str">
        <f aca="false">IF(F60="X",E59+C60+B60,"")</f>
        <v/>
      </c>
      <c r="F60" s="57"/>
    </row>
    <row r="61" customFormat="false" ht="13.8" hidden="false" customHeight="false" outlineLevel="0" collapsed="false">
      <c r="A61" s="58"/>
      <c r="B61" s="19"/>
      <c r="C61" s="20"/>
      <c r="D61" s="21"/>
      <c r="E61" s="22" t="str">
        <f aca="false">IF(F61="X",E60+C61+B61,"")</f>
        <v/>
      </c>
      <c r="F61" s="57"/>
    </row>
    <row r="62" customFormat="false" ht="13.8" hidden="false" customHeight="false" outlineLevel="0" collapsed="false">
      <c r="A62" s="58"/>
      <c r="B62" s="19"/>
      <c r="C62" s="20"/>
      <c r="D62" s="21"/>
      <c r="E62" s="22" t="str">
        <f aca="false">IF(F62="X",E61+C62+B62,"")</f>
        <v/>
      </c>
      <c r="F62" s="57"/>
    </row>
    <row r="63" customFormat="false" ht="13.8" hidden="false" customHeight="false" outlineLevel="0" collapsed="false">
      <c r="A63" s="58"/>
      <c r="B63" s="19"/>
      <c r="C63" s="20"/>
      <c r="D63" s="21"/>
      <c r="E63" s="22" t="str">
        <f aca="false">IF(F63="X",E62+C63+B63,"")</f>
        <v/>
      </c>
      <c r="F63" s="57"/>
    </row>
    <row r="64" customFormat="false" ht="13.8" hidden="false" customHeight="false" outlineLevel="0" collapsed="false">
      <c r="A64" s="58"/>
      <c r="B64" s="19"/>
      <c r="C64" s="20"/>
      <c r="D64" s="21"/>
      <c r="E64" s="22" t="str">
        <f aca="false">IF(F64="X",E63+C64+B64,"")</f>
        <v/>
      </c>
      <c r="F64" s="57"/>
    </row>
    <row r="65" customFormat="false" ht="13.8" hidden="false" customHeight="false" outlineLevel="0" collapsed="false">
      <c r="A65" s="58"/>
      <c r="B65" s="19"/>
      <c r="C65" s="20"/>
      <c r="D65" s="21"/>
      <c r="E65" s="22" t="str">
        <f aca="false">IF(F65="X",E64+C65+B65,"")</f>
        <v/>
      </c>
      <c r="F65" s="57"/>
    </row>
    <row r="66" customFormat="false" ht="13.8" hidden="false" customHeight="false" outlineLevel="0" collapsed="false">
      <c r="A66" s="58"/>
      <c r="B66" s="19"/>
      <c r="C66" s="20"/>
      <c r="D66" s="21"/>
      <c r="E66" s="22" t="str">
        <f aca="false">IF(F66="X",E65+C66+B66,"")</f>
        <v/>
      </c>
      <c r="F66" s="57"/>
    </row>
    <row r="67" customFormat="false" ht="13.8" hidden="false" customHeight="false" outlineLevel="0" collapsed="false">
      <c r="A67" s="58"/>
      <c r="B67" s="19"/>
      <c r="C67" s="20"/>
      <c r="D67" s="21"/>
      <c r="E67" s="22" t="str">
        <f aca="false">IF(F67="X",E66+C67+B67,"")</f>
        <v/>
      </c>
      <c r="F67" s="57"/>
    </row>
    <row r="68" customFormat="false" ht="13.8" hidden="false" customHeight="false" outlineLevel="0" collapsed="false">
      <c r="A68" s="58"/>
      <c r="B68" s="19"/>
      <c r="C68" s="20"/>
      <c r="D68" s="21"/>
      <c r="E68" s="22" t="str">
        <f aca="false">IF(F68="X",E67+C68+B68,"")</f>
        <v/>
      </c>
      <c r="F68" s="57"/>
    </row>
    <row r="69" customFormat="false" ht="13.8" hidden="false" customHeight="false" outlineLevel="0" collapsed="false">
      <c r="A69" s="58"/>
      <c r="B69" s="19"/>
      <c r="C69" s="20"/>
      <c r="D69" s="21"/>
      <c r="E69" s="22" t="str">
        <f aca="false">IF(F69="X",E68+C69+B69,"")</f>
        <v/>
      </c>
      <c r="F69" s="57"/>
    </row>
    <row r="70" customFormat="false" ht="13.8" hidden="false" customHeight="false" outlineLevel="0" collapsed="false">
      <c r="A70" s="58"/>
      <c r="B70" s="19"/>
      <c r="C70" s="20"/>
      <c r="D70" s="21"/>
      <c r="E70" s="22" t="str">
        <f aca="false">IF(F70="X",E69+C70+B70,"")</f>
        <v/>
      </c>
      <c r="F70" s="57"/>
    </row>
    <row r="71" customFormat="false" ht="13.8" hidden="false" customHeight="false" outlineLevel="0" collapsed="false">
      <c r="A71" s="58"/>
      <c r="B71" s="19"/>
      <c r="C71" s="20"/>
      <c r="D71" s="21"/>
      <c r="E71" s="22" t="str">
        <f aca="false">IF(F71="X",E70+C71+B71,"")</f>
        <v/>
      </c>
      <c r="F71" s="57"/>
    </row>
    <row r="72" customFormat="false" ht="13.8" hidden="false" customHeight="false" outlineLevel="0" collapsed="false">
      <c r="A72" s="59"/>
      <c r="B72" s="60"/>
      <c r="C72" s="61"/>
      <c r="D72" s="62"/>
      <c r="E72" s="22" t="str">
        <f aca="false">IF(F72="X",E71+C72+B72,"")</f>
        <v/>
      </c>
      <c r="F72" s="63"/>
    </row>
    <row r="1048575" customFormat="false" ht="12.8" hidden="false" customHeight="false" outlineLevel="0" collapsed="false"/>
    <row r="1048576" customFormat="false" ht="12.8" hidden="false" customHeight="false" outlineLevel="0" collapsed="false"/>
  </sheetData>
  <mergeCells count="1">
    <mergeCell ref="K42:L42"/>
  </mergeCells>
  <conditionalFormatting sqref="L6:L31">
    <cfRule type="cellIs" priority="2" operator="lessThan" aboveAverage="0" equalAverage="0" bottom="0" percent="0" rank="0" text="" dxfId="475">
      <formula>0</formula>
    </cfRule>
    <cfRule type="cellIs" priority="3" operator="greaterThan" aboveAverage="0" equalAverage="0" bottom="0" percent="0" rank="0" text="" dxfId="476">
      <formula>0</formula>
    </cfRule>
    <cfRule type="cellIs" priority="4" operator="lessThan" aboveAverage="0" equalAverage="0" bottom="0" percent="0" rank="0" text="" dxfId="477">
      <formula>0</formula>
    </cfRule>
    <cfRule type="cellIs" priority="5" operator="greaterThan" aboveAverage="0" equalAverage="0" bottom="0" percent="0" rank="0" text="" dxfId="478">
      <formula>0</formula>
    </cfRule>
  </conditionalFormatting>
  <conditionalFormatting sqref="L37">
    <cfRule type="cellIs" priority="6" operator="greaterThan" aboveAverage="0" equalAverage="0" bottom="0" percent="0" rank="0" text="" dxfId="479">
      <formula>0</formula>
    </cfRule>
    <cfRule type="cellIs" priority="7" operator="lessThan" aboveAverage="0" equalAverage="0" bottom="0" percent="0" rank="0" text="" dxfId="480">
      <formula>0</formula>
    </cfRule>
  </conditionalFormatting>
  <conditionalFormatting sqref="K34">
    <cfRule type="expression" priority="8" aboveAverage="0" equalAverage="0" bottom="0" percent="0" rank="0" text="" dxfId="481">
      <formula>L34&gt;0</formula>
    </cfRule>
    <cfRule type="expression" priority="9" aboveAverage="0" equalAverage="0" bottom="0" percent="0" rank="0" text="" dxfId="482">
      <formula>L34&lt;0</formula>
    </cfRule>
  </conditionalFormatting>
  <conditionalFormatting sqref="K33">
    <cfRule type="expression" priority="10" aboveAverage="0" equalAverage="0" bottom="0" percent="0" rank="0" text="" dxfId="483">
      <formula>L33&gt;0</formula>
    </cfRule>
    <cfRule type="expression" priority="11" aboveAverage="0" equalAverage="0" bottom="0" percent="0" rank="0" text="" dxfId="484">
      <formula>L33&lt;0</formula>
    </cfRule>
  </conditionalFormatting>
  <conditionalFormatting sqref="K32">
    <cfRule type="expression" priority="12" aboveAverage="0" equalAverage="0" bottom="0" percent="0" rank="0" text="" dxfId="485">
      <formula>L32&gt;0</formula>
    </cfRule>
    <cfRule type="expression" priority="13" aboveAverage="0" equalAverage="0" bottom="0" percent="0" rank="0" text="" dxfId="486">
      <formula>L32&lt;0</formula>
    </cfRule>
  </conditionalFormatting>
  <conditionalFormatting sqref="K31">
    <cfRule type="expression" priority="14" aboveAverage="0" equalAverage="0" bottom="0" percent="0" rank="0" text="" dxfId="487">
      <formula>L31&gt;0</formula>
    </cfRule>
    <cfRule type="expression" priority="15" aboveAverage="0" equalAverage="0" bottom="0" percent="0" rank="0" text="" dxfId="488">
      <formula>L31&lt;0</formula>
    </cfRule>
  </conditionalFormatting>
  <conditionalFormatting sqref="K30">
    <cfRule type="expression" priority="16" aboveAverage="0" equalAverage="0" bottom="0" percent="0" rank="0" text="" dxfId="489">
      <formula>L30&gt;0</formula>
    </cfRule>
    <cfRule type="expression" priority="17" aboveAverage="0" equalAverage="0" bottom="0" percent="0" rank="0" text="" dxfId="490">
      <formula>L30&lt;0</formula>
    </cfRule>
  </conditionalFormatting>
  <conditionalFormatting sqref="K29">
    <cfRule type="expression" priority="18" aboveAverage="0" equalAverage="0" bottom="0" percent="0" rank="0" text="" dxfId="491">
      <formula>L29&gt;0</formula>
    </cfRule>
    <cfRule type="expression" priority="19" aboveAverage="0" equalAverage="0" bottom="0" percent="0" rank="0" text="" dxfId="492">
      <formula>L29&lt;0</formula>
    </cfRule>
  </conditionalFormatting>
  <conditionalFormatting sqref="K28">
    <cfRule type="expression" priority="20" aboveAverage="0" equalAverage="0" bottom="0" percent="0" rank="0" text="" dxfId="493">
      <formula>L28&gt;0</formula>
    </cfRule>
    <cfRule type="expression" priority="21" aboveAverage="0" equalAverage="0" bottom="0" percent="0" rank="0" text="" dxfId="494">
      <formula>L28&lt;0</formula>
    </cfRule>
  </conditionalFormatting>
  <conditionalFormatting sqref="K27">
    <cfRule type="expression" priority="22" aboveAverage="0" equalAverage="0" bottom="0" percent="0" rank="0" text="" dxfId="495">
      <formula>L27&gt;0</formula>
    </cfRule>
    <cfRule type="expression" priority="23" aboveAverage="0" equalAverage="0" bottom="0" percent="0" rank="0" text="" dxfId="496">
      <formula>L27&lt;0</formula>
    </cfRule>
  </conditionalFormatting>
  <conditionalFormatting sqref="K26">
    <cfRule type="expression" priority="24" aboveAverage="0" equalAverage="0" bottom="0" percent="0" rank="0" text="" dxfId="497">
      <formula>L26&gt;0</formula>
    </cfRule>
    <cfRule type="expression" priority="25" aboveAverage="0" equalAverage="0" bottom="0" percent="0" rank="0" text="" dxfId="498">
      <formula>L26&lt;0</formula>
    </cfRule>
  </conditionalFormatting>
  <conditionalFormatting sqref="K25">
    <cfRule type="expression" priority="26" aboveAverage="0" equalAverage="0" bottom="0" percent="0" rank="0" text="" dxfId="499">
      <formula>L25&gt;0</formula>
    </cfRule>
    <cfRule type="expression" priority="27" aboveAverage="0" equalAverage="0" bottom="0" percent="0" rank="0" text="" dxfId="500">
      <formula>L25&lt;0</formula>
    </cfRule>
  </conditionalFormatting>
  <conditionalFormatting sqref="K24">
    <cfRule type="expression" priority="28" aboveAverage="0" equalAverage="0" bottom="0" percent="0" rank="0" text="" dxfId="501">
      <formula>L24&gt;0</formula>
    </cfRule>
    <cfRule type="expression" priority="29" aboveAverage="0" equalAverage="0" bottom="0" percent="0" rank="0" text="" dxfId="502">
      <formula>L24&lt;0</formula>
    </cfRule>
  </conditionalFormatting>
  <conditionalFormatting sqref="K23">
    <cfRule type="expression" priority="30" aboveAverage="0" equalAverage="0" bottom="0" percent="0" rank="0" text="" dxfId="503">
      <formula>L23&gt;0</formula>
    </cfRule>
    <cfRule type="expression" priority="31" aboveAverage="0" equalAverage="0" bottom="0" percent="0" rank="0" text="" dxfId="504">
      <formula>L23&lt;0</formula>
    </cfRule>
  </conditionalFormatting>
  <conditionalFormatting sqref="K22">
    <cfRule type="expression" priority="32" aboveAverage="0" equalAverage="0" bottom="0" percent="0" rank="0" text="" dxfId="505">
      <formula>L22&gt;0</formula>
    </cfRule>
    <cfRule type="expression" priority="33" aboveAverage="0" equalAverage="0" bottom="0" percent="0" rank="0" text="" dxfId="506">
      <formula>L22&lt;0</formula>
    </cfRule>
  </conditionalFormatting>
  <conditionalFormatting sqref="K21">
    <cfRule type="expression" priority="34" aboveAverage="0" equalAverage="0" bottom="0" percent="0" rank="0" text="" dxfId="507">
      <formula>L21&gt;0</formula>
    </cfRule>
    <cfRule type="expression" priority="35" aboveAverage="0" equalAverage="0" bottom="0" percent="0" rank="0" text="" dxfId="508">
      <formula>L21&lt;0</formula>
    </cfRule>
  </conditionalFormatting>
  <conditionalFormatting sqref="K20">
    <cfRule type="expression" priority="36" aboveAverage="0" equalAverage="0" bottom="0" percent="0" rank="0" text="" dxfId="509">
      <formula>L20&gt;0</formula>
    </cfRule>
    <cfRule type="expression" priority="37" aboveAverage="0" equalAverage="0" bottom="0" percent="0" rank="0" text="" dxfId="510">
      <formula>L20&lt;0</formula>
    </cfRule>
  </conditionalFormatting>
  <conditionalFormatting sqref="K19">
    <cfRule type="expression" priority="38" aboveAverage="0" equalAverage="0" bottom="0" percent="0" rank="0" text="" dxfId="511">
      <formula>L19&gt;0</formula>
    </cfRule>
    <cfRule type="expression" priority="39" aboveAverage="0" equalAverage="0" bottom="0" percent="0" rank="0" text="" dxfId="512">
      <formula>L19&lt;0</formula>
    </cfRule>
  </conditionalFormatting>
  <conditionalFormatting sqref="K17:K18">
    <cfRule type="expression" priority="40" aboveAverage="0" equalAverage="0" bottom="0" percent="0" rank="0" text="" dxfId="513">
      <formula>L17&gt;0</formula>
    </cfRule>
    <cfRule type="expression" priority="41" aboveAverage="0" equalAverage="0" bottom="0" percent="0" rank="0" text="" dxfId="514">
      <formula>L17&lt;0</formula>
    </cfRule>
  </conditionalFormatting>
  <conditionalFormatting sqref="K16">
    <cfRule type="expression" priority="42" aboveAverage="0" equalAverage="0" bottom="0" percent="0" rank="0" text="" dxfId="515">
      <formula>L16&gt;0</formula>
    </cfRule>
    <cfRule type="expression" priority="43" aboveAverage="0" equalAverage="0" bottom="0" percent="0" rank="0" text="" dxfId="516">
      <formula>L16&lt;0</formula>
    </cfRule>
  </conditionalFormatting>
  <conditionalFormatting sqref="K15">
    <cfRule type="expression" priority="44" aboveAverage="0" equalAverage="0" bottom="0" percent="0" rank="0" text="" dxfId="517">
      <formula>L15&gt;0</formula>
    </cfRule>
    <cfRule type="expression" priority="45" aboveAverage="0" equalAverage="0" bottom="0" percent="0" rank="0" text="" dxfId="518">
      <formula>L15&lt;0</formula>
    </cfRule>
  </conditionalFormatting>
  <conditionalFormatting sqref="K14">
    <cfRule type="expression" priority="46" aboveAverage="0" equalAverage="0" bottom="0" percent="0" rank="0" text="" dxfId="519">
      <formula>L14&gt;0</formula>
    </cfRule>
    <cfRule type="expression" priority="47" aboveAverage="0" equalAverage="0" bottom="0" percent="0" rank="0" text="" dxfId="520">
      <formula>L14&lt;0</formula>
    </cfRule>
  </conditionalFormatting>
  <conditionalFormatting sqref="K13">
    <cfRule type="expression" priority="48" aboveAverage="0" equalAverage="0" bottom="0" percent="0" rank="0" text="" dxfId="521">
      <formula>L13&gt;0</formula>
    </cfRule>
    <cfRule type="expression" priority="49" aboveAverage="0" equalAverage="0" bottom="0" percent="0" rank="0" text="" dxfId="522">
      <formula>L13&lt;0</formula>
    </cfRule>
  </conditionalFormatting>
  <conditionalFormatting sqref="K12">
    <cfRule type="expression" priority="50" aboveAverage="0" equalAverage="0" bottom="0" percent="0" rank="0" text="" dxfId="523">
      <formula>L12&gt;0</formula>
    </cfRule>
    <cfRule type="expression" priority="51" aboveAverage="0" equalAverage="0" bottom="0" percent="0" rank="0" text="" dxfId="524">
      <formula>L12&lt;0</formula>
    </cfRule>
  </conditionalFormatting>
  <conditionalFormatting sqref="K11">
    <cfRule type="expression" priority="52" aboveAverage="0" equalAverage="0" bottom="0" percent="0" rank="0" text="" dxfId="525">
      <formula>L11&gt;0</formula>
    </cfRule>
    <cfRule type="expression" priority="53" aboveAverage="0" equalAverage="0" bottom="0" percent="0" rank="0" text="" dxfId="526">
      <formula>L11&lt;0</formula>
    </cfRule>
  </conditionalFormatting>
  <conditionalFormatting sqref="K10">
    <cfRule type="expression" priority="54" aboveAverage="0" equalAverage="0" bottom="0" percent="0" rank="0" text="" dxfId="527">
      <formula>L10&gt;0</formula>
    </cfRule>
    <cfRule type="expression" priority="55" aboveAverage="0" equalAverage="0" bottom="0" percent="0" rank="0" text="" dxfId="528">
      <formula>L10&lt;0</formula>
    </cfRule>
  </conditionalFormatting>
  <conditionalFormatting sqref="K9">
    <cfRule type="expression" priority="56" aboveAverage="0" equalAverage="0" bottom="0" percent="0" rank="0" text="" dxfId="529">
      <formula>L9&gt;0</formula>
    </cfRule>
    <cfRule type="expression" priority="57" aboveAverage="0" equalAverage="0" bottom="0" percent="0" rank="0" text="" dxfId="530">
      <formula>L9&lt;0</formula>
    </cfRule>
  </conditionalFormatting>
  <conditionalFormatting sqref="K8">
    <cfRule type="expression" priority="58" aboveAverage="0" equalAverage="0" bottom="0" percent="0" rank="0" text="" dxfId="531">
      <formula>L8&gt;0</formula>
    </cfRule>
    <cfRule type="expression" priority="59" aboveAverage="0" equalAverage="0" bottom="0" percent="0" rank="0" text="" dxfId="532">
      <formula>L8&lt;0</formula>
    </cfRule>
  </conditionalFormatting>
  <conditionalFormatting sqref="K7">
    <cfRule type="expression" priority="60" aboveAverage="0" equalAverage="0" bottom="0" percent="0" rank="0" text="" dxfId="533">
      <formula>L7&gt;0</formula>
    </cfRule>
    <cfRule type="expression" priority="61" aboveAverage="0" equalAverage="0" bottom="0" percent="0" rank="0" text="" dxfId="534">
      <formula>L7&lt;0</formula>
    </cfRule>
  </conditionalFormatting>
  <conditionalFormatting sqref="K6">
    <cfRule type="expression" priority="62" aboveAverage="0" equalAverage="0" bottom="0" percent="0" rank="0" text="" dxfId="535">
      <formula>L6&gt;0</formula>
    </cfRule>
    <cfRule type="expression" priority="63" aboveAverage="0" equalAverage="0" bottom="0" percent="0" rank="0" text="" dxfId="536">
      <formula>L6&lt;0</formula>
    </cfRule>
  </conditionalFormatting>
  <conditionalFormatting sqref="K5">
    <cfRule type="expression" priority="64" aboveAverage="0" equalAverage="0" bottom="0" percent="0" rank="0" text="" dxfId="537">
      <formula>L5&gt;0</formula>
    </cfRule>
    <cfRule type="expression" priority="65" aboveAverage="0" equalAverage="0" bottom="0" percent="0" rank="0" text="" dxfId="538">
      <formula>L5&lt;0</formula>
    </cfRule>
  </conditionalFormatting>
  <conditionalFormatting sqref="L30">
    <cfRule type="cellIs" priority="66" operator="lessThan" aboveAverage="0" equalAverage="0" bottom="0" percent="0" rank="0" text="" dxfId="539">
      <formula>0</formula>
    </cfRule>
    <cfRule type="cellIs" priority="67" operator="greaterThan" aboveAverage="0" equalAverage="0" bottom="0" percent="0" rank="0" text="" dxfId="540">
      <formula>0</formula>
    </cfRule>
  </conditionalFormatting>
  <conditionalFormatting sqref="L29">
    <cfRule type="cellIs" priority="68" operator="lessThan" aboveAverage="0" equalAverage="0" bottom="0" percent="0" rank="0" text="" dxfId="541">
      <formula>0</formula>
    </cfRule>
    <cfRule type="cellIs" priority="69" operator="greaterThan" aboveAverage="0" equalAverage="0" bottom="0" percent="0" rank="0" text="" dxfId="542">
      <formula>0</formula>
    </cfRule>
  </conditionalFormatting>
  <conditionalFormatting sqref="L28">
    <cfRule type="cellIs" priority="70" operator="lessThan" aboveAverage="0" equalAverage="0" bottom="0" percent="0" rank="0" text="" dxfId="543">
      <formula>0</formula>
    </cfRule>
    <cfRule type="cellIs" priority="71" operator="greaterThan" aboveAverage="0" equalAverage="0" bottom="0" percent="0" rank="0" text="" dxfId="544">
      <formula>0</formula>
    </cfRule>
  </conditionalFormatting>
  <conditionalFormatting sqref="L27">
    <cfRule type="cellIs" priority="72" operator="lessThan" aboveAverage="0" equalAverage="0" bottom="0" percent="0" rank="0" text="" dxfId="545">
      <formula>0</formula>
    </cfRule>
    <cfRule type="cellIs" priority="73" operator="greaterThan" aboveAverage="0" equalAverage="0" bottom="0" percent="0" rank="0" text="" dxfId="546">
      <formula>0</formula>
    </cfRule>
  </conditionalFormatting>
  <conditionalFormatting sqref="L26">
    <cfRule type="cellIs" priority="74" operator="lessThan" aboveAverage="0" equalAverage="0" bottom="0" percent="0" rank="0" text="" dxfId="547">
      <formula>0</formula>
    </cfRule>
    <cfRule type="cellIs" priority="75" operator="greaterThan" aboveAverage="0" equalAverage="0" bottom="0" percent="0" rank="0" text="" dxfId="548">
      <formula>0</formula>
    </cfRule>
  </conditionalFormatting>
  <conditionalFormatting sqref="L25">
    <cfRule type="cellIs" priority="76" operator="lessThan" aboveAverage="0" equalAverage="0" bottom="0" percent="0" rank="0" text="" dxfId="549">
      <formula>0</formula>
    </cfRule>
    <cfRule type="cellIs" priority="77" operator="greaterThan" aboveAverage="0" equalAverage="0" bottom="0" percent="0" rank="0" text="" dxfId="550">
      <formula>0</formula>
    </cfRule>
  </conditionalFormatting>
  <conditionalFormatting sqref="L38:L39 L6:L34">
    <cfRule type="cellIs" priority="78" operator="greaterThan" aboveAverage="0" equalAverage="0" bottom="0" percent="0" rank="0" text="" dxfId="551">
      <formula>0</formula>
    </cfRule>
    <cfRule type="cellIs" priority="79" operator="lessThan" aboveAverage="0" equalAverage="0" bottom="0" percent="0" rank="0" text="" dxfId="552">
      <formula>0</formula>
    </cfRule>
  </conditionalFormatting>
  <conditionalFormatting sqref="L39">
    <cfRule type="cellIs" priority="80" operator="greaterThan" aboveAverage="0" equalAverage="0" bottom="0" percent="0" rank="0" text="" dxfId="553">
      <formula>0</formula>
    </cfRule>
    <cfRule type="expression" priority="81" aboveAverage="0" equalAverage="0" bottom="0" percent="0" rank="0" text="" dxfId="554">
      <formula>$L$5:$L$44&lt;0</formula>
    </cfRule>
  </conditionalFormatting>
  <conditionalFormatting sqref="L24">
    <cfRule type="cellIs" priority="82" operator="lessThan" aboveAverage="0" equalAverage="0" bottom="0" percent="0" rank="0" text="" dxfId="95">
      <formula>0</formula>
    </cfRule>
    <cfRule type="cellIs" priority="83" operator="greaterThan" aboveAverage="0" equalAverage="0" bottom="0" percent="0" rank="0" text="" dxfId="96">
      <formula>0</formula>
    </cfRule>
  </conditionalFormatting>
  <conditionalFormatting sqref="L23">
    <cfRule type="cellIs" priority="84" operator="lessThan" aboveAverage="0" equalAverage="0" bottom="0" percent="0" rank="0" text="" dxfId="97">
      <formula>0</formula>
    </cfRule>
    <cfRule type="cellIs" priority="85" operator="greaterThan" aboveAverage="0" equalAverage="0" bottom="0" percent="0" rank="0" text="" dxfId="98">
      <formula>0</formula>
    </cfRule>
  </conditionalFormatting>
  <conditionalFormatting sqref="L22">
    <cfRule type="cellIs" priority="86" operator="lessThan" aboveAverage="0" equalAverage="0" bottom="0" percent="0" rank="0" text="" dxfId="99">
      <formula>0</formula>
    </cfRule>
    <cfRule type="cellIs" priority="87" operator="greaterThan" aboveAverage="0" equalAverage="0" bottom="0" percent="0" rank="0" text="" dxfId="100">
      <formula>0</formula>
    </cfRule>
  </conditionalFormatting>
  <conditionalFormatting sqref="L21">
    <cfRule type="cellIs" priority="88" operator="lessThan" aboveAverage="0" equalAverage="0" bottom="0" percent="0" rank="0" text="" dxfId="101">
      <formula>0</formula>
    </cfRule>
    <cfRule type="cellIs" priority="89" operator="greaterThan" aboveAverage="0" equalAverage="0" bottom="0" percent="0" rank="0" text="" dxfId="102">
      <formula>0</formula>
    </cfRule>
  </conditionalFormatting>
  <conditionalFormatting sqref="L20">
    <cfRule type="cellIs" priority="90" operator="lessThan" aboveAverage="0" equalAverage="0" bottom="0" percent="0" rank="0" text="" dxfId="103">
      <formula>0</formula>
    </cfRule>
    <cfRule type="cellIs" priority="91" operator="greaterThan" aboveAverage="0" equalAverage="0" bottom="0" percent="0" rank="0" text="" dxfId="104">
      <formula>0</formula>
    </cfRule>
  </conditionalFormatting>
  <conditionalFormatting sqref="L13">
    <cfRule type="cellIs" priority="92" operator="lessThan" aboveAverage="0" equalAverage="0" bottom="0" percent="0" rank="0" text="" dxfId="105">
      <formula>0</formula>
    </cfRule>
    <cfRule type="cellIs" priority="93" operator="greaterThan" aboveAverage="0" equalAverage="0" bottom="0" percent="0" rank="0" text="" dxfId="106">
      <formula>0</formula>
    </cfRule>
  </conditionalFormatting>
  <conditionalFormatting sqref="L12">
    <cfRule type="cellIs" priority="94" operator="lessThan" aboveAverage="0" equalAverage="0" bottom="0" percent="0" rank="0" text="" dxfId="107">
      <formula>0</formula>
    </cfRule>
    <cfRule type="cellIs" priority="95" operator="greaterThan" aboveAverage="0" equalAverage="0" bottom="0" percent="0" rank="0" text="" dxfId="108">
      <formula>0</formula>
    </cfRule>
  </conditionalFormatting>
  <conditionalFormatting sqref="L11">
    <cfRule type="cellIs" priority="96" operator="lessThan" aboveAverage="0" equalAverage="0" bottom="0" percent="0" rank="0" text="" dxfId="109">
      <formula>0</formula>
    </cfRule>
    <cfRule type="cellIs" priority="97" operator="greaterThan" aboveAverage="0" equalAverage="0" bottom="0" percent="0" rank="0" text="" dxfId="110">
      <formula>0</formula>
    </cfRule>
  </conditionalFormatting>
  <conditionalFormatting sqref="L10">
    <cfRule type="cellIs" priority="98" operator="lessThan" aboveAverage="0" equalAverage="0" bottom="0" percent="0" rank="0" text="" dxfId="111">
      <formula>0</formula>
    </cfRule>
    <cfRule type="cellIs" priority="99" operator="greaterThan" aboveAverage="0" equalAverage="0" bottom="0" percent="0" rank="0" text="" dxfId="112">
      <formula>0</formula>
    </cfRule>
  </conditionalFormatting>
  <conditionalFormatting sqref="L9">
    <cfRule type="cellIs" priority="100" operator="lessThan" aboveAverage="0" equalAverage="0" bottom="0" percent="0" rank="0" text="" dxfId="113">
      <formula>0</formula>
    </cfRule>
    <cfRule type="cellIs" priority="101" operator="greaterThan" aboveAverage="0" equalAverage="0" bottom="0" percent="0" rank="0" text="" dxfId="114">
      <formula>0</formula>
    </cfRule>
  </conditionalFormatting>
  <conditionalFormatting sqref="L8">
    <cfRule type="cellIs" priority="102" operator="lessThan" aboveAverage="0" equalAverage="0" bottom="0" percent="0" rank="0" text="" dxfId="115">
      <formula>0</formula>
    </cfRule>
    <cfRule type="cellIs" priority="103" operator="greaterThan" aboveAverage="0" equalAverage="0" bottom="0" percent="0" rank="0" text="" dxfId="116">
      <formula>0</formula>
    </cfRule>
  </conditionalFormatting>
  <conditionalFormatting sqref="L7">
    <cfRule type="cellIs" priority="104" operator="lessThan" aboveAverage="0" equalAverage="0" bottom="0" percent="0" rank="0" text="" dxfId="117">
      <formula>0</formula>
    </cfRule>
    <cfRule type="cellIs" priority="105" operator="greaterThan" aboveAverage="0" equalAverage="0" bottom="0" percent="0" rank="0" text="" dxfId="118">
      <formula>0</formula>
    </cfRule>
  </conditionalFormatting>
  <conditionalFormatting sqref="L6">
    <cfRule type="cellIs" priority="106" operator="lessThan" aboveAverage="0" equalAverage="0" bottom="0" percent="0" rank="0" text="" dxfId="119">
      <formula>0</formula>
    </cfRule>
    <cfRule type="cellIs" priority="107" operator="greaterThan" aboveAverage="0" equalAverage="0" bottom="0" percent="0" rank="0" text="" dxfId="120">
      <formula>0</formula>
    </cfRule>
  </conditionalFormatting>
  <conditionalFormatting sqref="L5">
    <cfRule type="cellIs" priority="108" operator="lessThan" aboveAverage="0" equalAverage="0" bottom="0" percent="0" rank="0" text="" dxfId="121">
      <formula>0</formula>
    </cfRule>
    <cfRule type="cellIs" priority="109" operator="greaterThan" aboveAverage="0" equalAverage="0" bottom="0" percent="0" rank="0" text="" dxfId="122">
      <formula>0</formula>
    </cfRule>
  </conditionalFormatting>
  <conditionalFormatting sqref="L5:L24">
    <cfRule type="cellIs" priority="110" operator="greaterThan" aboveAverage="0" equalAverage="0" bottom="0" percent="0" rank="0" text="" dxfId="123">
      <formula>0</formula>
    </cfRule>
    <cfRule type="cellIs" priority="111" operator="lessThan" aboveAverage="0" equalAverage="0" bottom="0" percent="0" rank="0" text="" dxfId="124">
      <formula>0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048576"/>
  <sheetViews>
    <sheetView showFormulas="false" showGridLines="true" showRowColHeaders="true" showZeros="true" rightToLeft="false" tabSelected="false" showOutlineSymbols="true" defaultGridColor="true" view="normal" topLeftCell="A31" colorId="64" zoomScale="100" zoomScaleNormal="100" zoomScalePageLayoutView="100" workbookViewId="0">
      <selection pane="topLeft" activeCell="K26" activeCellId="0" sqref="K26"/>
    </sheetView>
  </sheetViews>
  <sheetFormatPr defaultColWidth="11.4453125" defaultRowHeight="13.8" zeroHeight="false" outlineLevelRow="0" outlineLevelCol="0"/>
  <cols>
    <col collapsed="false" customWidth="true" hidden="false" outlineLevel="0" max="1" min="1" style="1" width="13.88"/>
    <col collapsed="false" customWidth="false" hidden="false" outlineLevel="0" max="3" min="2" style="1" width="11.44"/>
    <col collapsed="false" customWidth="true" hidden="false" outlineLevel="0" max="4" min="4" style="1" width="25.88"/>
    <col collapsed="false" customWidth="true" hidden="false" outlineLevel="0" max="5" min="5" style="1" width="12.88"/>
    <col collapsed="false" customWidth="true" hidden="false" outlineLevel="0" max="6" min="6" style="1" width="8.88"/>
    <col collapsed="false" customWidth="false" hidden="false" outlineLevel="0" max="7" min="7" style="1" width="11.44"/>
    <col collapsed="false" customWidth="true" hidden="false" outlineLevel="0" max="8" min="8" style="1" width="15.56"/>
    <col collapsed="false" customWidth="false" hidden="false" outlineLevel="0" max="10" min="9" style="1" width="11.44"/>
    <col collapsed="false" customWidth="true" hidden="false" outlineLevel="0" max="11" min="11" style="1" width="25.67"/>
    <col collapsed="false" customWidth="true" hidden="false" outlineLevel="0" max="12" min="12" style="1" width="11.56"/>
    <col collapsed="false" customWidth="false" hidden="false" outlineLevel="0" max="13" min="13" style="1" width="11.44"/>
    <col collapsed="false" customWidth="true" hidden="false" outlineLevel="0" max="14" min="14" style="1" width="25.56"/>
    <col collapsed="false" customWidth="false" hidden="false" outlineLevel="0" max="16384" min="15" style="1" width="11.44"/>
  </cols>
  <sheetData>
    <row r="1" customFormat="false" ht="14.25" hidden="false" customHeight="false" outlineLevel="0" collapsed="false">
      <c r="A1" s="2" t="s">
        <v>0</v>
      </c>
      <c r="B1" s="3"/>
      <c r="D1" s="4" t="s">
        <v>1</v>
      </c>
      <c r="E1" s="3" t="n">
        <f aca="false">SUM(C5:C68)+SUM(B5:B68)-SUMIF(Tableau3212[Raison],"Solde",Tableau3212[Crédit])</f>
        <v>0</v>
      </c>
      <c r="F1" s="5"/>
      <c r="G1" s="6"/>
      <c r="H1" s="4" t="s">
        <v>49</v>
      </c>
      <c r="I1" s="3" t="n">
        <f aca="false">IF(SUMIF(Tableau3212[Raison],"Salaire",Tableau3212[Crédit])=0,2200,SUMIF(Tableau3212[Raison],"Salaire",Tableau3212[Crédit]))</f>
        <v>2200</v>
      </c>
    </row>
    <row r="2" customFormat="false" ht="15" hidden="false" customHeight="false" outlineLevel="0" collapsed="false">
      <c r="A2" s="2" t="s">
        <v>3</v>
      </c>
      <c r="B2" s="3"/>
      <c r="D2" s="4" t="s">
        <v>4</v>
      </c>
      <c r="E2" s="3" t="n">
        <f aca="false">I1+E1</f>
        <v>2200</v>
      </c>
      <c r="F2" s="7"/>
      <c r="G2" s="8" t="n">
        <f aca="false">(100/I1)*E2/100</f>
        <v>1</v>
      </c>
    </row>
    <row r="3" customFormat="false" ht="14.25" hidden="false" customHeight="false" outlineLevel="0" collapsed="false">
      <c r="F3" s="9"/>
    </row>
    <row r="4" customFormat="false" ht="13.8" hidden="false" customHeight="false" outlineLevel="0" collapsed="false">
      <c r="A4" s="10" t="s">
        <v>5</v>
      </c>
      <c r="B4" s="11" t="s">
        <v>6</v>
      </c>
      <c r="C4" s="12" t="s">
        <v>7</v>
      </c>
      <c r="D4" s="13" t="s">
        <v>8</v>
      </c>
      <c r="E4" s="14" t="s">
        <v>9</v>
      </c>
      <c r="F4" s="15" t="s">
        <v>10</v>
      </c>
      <c r="K4" s="16" t="s">
        <v>11</v>
      </c>
      <c r="L4" s="17" t="s">
        <v>12</v>
      </c>
    </row>
    <row r="5" customFormat="false" ht="13.8" hidden="false" customHeight="false" outlineLevel="0" collapsed="false">
      <c r="A5" s="28"/>
      <c r="B5" s="19"/>
      <c r="C5" s="20"/>
      <c r="D5" s="21"/>
      <c r="E5" s="22" t="str">
        <f aca="false">IF(F5="X",B1+C5+B5,"")</f>
        <v/>
      </c>
      <c r="F5" s="23"/>
      <c r="K5" s="24"/>
      <c r="L5" s="25" t="n">
        <f aca="false">IF(K5&lt;&gt;"",SUMIF($D$5:$D$55,K5,$C$5:$C$55)+SUMIF($D$5:$D$55,K5,$B$5:$B$55))</f>
        <v>0</v>
      </c>
    </row>
    <row r="6" customFormat="false" ht="13.8" hidden="false" customHeight="false" outlineLevel="0" collapsed="false">
      <c r="A6" s="28"/>
      <c r="B6" s="19"/>
      <c r="C6" s="20"/>
      <c r="D6" s="21"/>
      <c r="E6" s="22" t="str">
        <f aca="false">IF(F6="X",E5+C6+B6,"")</f>
        <v/>
      </c>
      <c r="F6" s="23"/>
      <c r="H6" s="38"/>
      <c r="K6" s="26"/>
      <c r="L6" s="25" t="str">
        <f aca="false">IF(K6&lt;&gt;"",SUMIF($D$5:$D$55,K6,$C$5:$C$55)+SUMIF($D$5:$D$55,K6,$B$5:$B$55),"")</f>
        <v/>
      </c>
    </row>
    <row r="7" customFormat="false" ht="13.8" hidden="false" customHeight="false" outlineLevel="0" collapsed="false">
      <c r="A7" s="28"/>
      <c r="B7" s="19"/>
      <c r="C7" s="20"/>
      <c r="D7" s="21"/>
      <c r="E7" s="22" t="str">
        <f aca="false">IF(F7="X",E6+C7+B7,"")</f>
        <v/>
      </c>
      <c r="F7" s="23"/>
      <c r="K7" s="26"/>
      <c r="L7" s="25" t="str">
        <f aca="false">IF(K7&lt;&gt;"",SUMIF($D$5:$D$55,K7,$C$5:$C$55)+SUMIF($D$5:$D$55,K7,$B$5:$B$55),"")</f>
        <v/>
      </c>
    </row>
    <row r="8" customFormat="false" ht="13.8" hidden="false" customHeight="false" outlineLevel="0" collapsed="false">
      <c r="A8" s="28"/>
      <c r="B8" s="19"/>
      <c r="C8" s="20"/>
      <c r="D8" s="21"/>
      <c r="E8" s="22" t="str">
        <f aca="false">IF(F8="X",E7+C8+B8,"")</f>
        <v/>
      </c>
      <c r="F8" s="23"/>
      <c r="K8" s="26"/>
      <c r="L8" s="25" t="str">
        <f aca="false">IF(K8&lt;&gt;"",SUMIF($D$5:$D$55,K8,$C$5:$C$55)+SUMIF($D$5:$D$55,K8,$B$5:$B$55),"")</f>
        <v/>
      </c>
    </row>
    <row r="9" customFormat="false" ht="13.8" hidden="false" customHeight="false" outlineLevel="0" collapsed="false">
      <c r="A9" s="28"/>
      <c r="B9" s="19"/>
      <c r="C9" s="20"/>
      <c r="D9" s="21"/>
      <c r="E9" s="22" t="str">
        <f aca="false">IF(F9="X",E8+C9+B9,"")</f>
        <v/>
      </c>
      <c r="F9" s="23"/>
      <c r="K9" s="26"/>
      <c r="L9" s="25" t="str">
        <f aca="false">IF(K9&lt;&gt;"",SUMIF($D$5:$D$55,K9,$C$5:$C$55)+SUMIF($D$5:$D$55,K9,$B$5:$B$55),"")</f>
        <v/>
      </c>
    </row>
    <row r="10" customFormat="false" ht="13.8" hidden="false" customHeight="false" outlineLevel="0" collapsed="false">
      <c r="A10" s="28"/>
      <c r="B10" s="30"/>
      <c r="C10" s="31"/>
      <c r="D10" s="21"/>
      <c r="E10" s="22" t="str">
        <f aca="false">IF(F10="X",E9+C10+B10,"")</f>
        <v/>
      </c>
      <c r="F10" s="23"/>
      <c r="K10" s="26"/>
      <c r="L10" s="25" t="str">
        <f aca="false">IF(K10&lt;&gt;"",SUMIF($D$5:$D$55,K10,$C$5:$C$55)+SUMIF($D$5:$D$55,K10,$B$5:$B$55),"")</f>
        <v/>
      </c>
    </row>
    <row r="11" customFormat="false" ht="13.8" hidden="false" customHeight="false" outlineLevel="0" collapsed="false">
      <c r="A11" s="28"/>
      <c r="B11" s="19"/>
      <c r="C11" s="20"/>
      <c r="D11" s="21"/>
      <c r="E11" s="22" t="str">
        <f aca="false">IF(F11="X",E10+C11+B11,"")</f>
        <v/>
      </c>
      <c r="F11" s="23"/>
      <c r="K11" s="26"/>
      <c r="L11" s="25" t="str">
        <f aca="false">IF(K11&lt;&gt;"",SUMIF($D$5:$D$55,K11,$C$5:$C$55)+SUMIF($D$5:$D$55,K11,$B$5:$B$55),"")</f>
        <v/>
      </c>
    </row>
    <row r="12" customFormat="false" ht="13.8" hidden="false" customHeight="false" outlineLevel="0" collapsed="false">
      <c r="A12" s="28"/>
      <c r="B12" s="19"/>
      <c r="C12" s="20"/>
      <c r="D12" s="21"/>
      <c r="E12" s="22" t="str">
        <f aca="false">IF(F12="X",E11+C12+B12,"")</f>
        <v/>
      </c>
      <c r="F12" s="23"/>
      <c r="K12" s="26"/>
      <c r="L12" s="25" t="str">
        <f aca="false">IF(K12&lt;&gt;"",SUMIF($D$5:$D$55,K12,$C$5:$C$55)+SUMIF($D$5:$D$55,K12,$B$5:$B$55),"")</f>
        <v/>
      </c>
    </row>
    <row r="13" customFormat="false" ht="13.8" hidden="false" customHeight="false" outlineLevel="0" collapsed="false">
      <c r="A13" s="28"/>
      <c r="B13" s="19"/>
      <c r="C13" s="20"/>
      <c r="D13" s="21"/>
      <c r="E13" s="22" t="str">
        <f aca="false">IF(F13="X",E12+C13+B13,"")</f>
        <v/>
      </c>
      <c r="F13" s="23"/>
      <c r="K13" s="26"/>
      <c r="L13" s="25" t="str">
        <f aca="false">IF(K13&lt;&gt;"",SUMIF($D$5:$D$55,K13,$C$5:$C$55)+SUMIF($D$5:$D$55,K13,$B$5:$B$55),"")</f>
        <v/>
      </c>
    </row>
    <row r="14" customFormat="false" ht="13.8" hidden="false" customHeight="false" outlineLevel="0" collapsed="false">
      <c r="A14" s="28"/>
      <c r="B14" s="19"/>
      <c r="C14" s="20"/>
      <c r="D14" s="21"/>
      <c r="E14" s="22" t="str">
        <f aca="false">IF(F14="X",E13+C14+B14,"")</f>
        <v/>
      </c>
      <c r="F14" s="23"/>
      <c r="K14" s="26"/>
      <c r="L14" s="25" t="str">
        <f aca="false">IF(K14&lt;&gt;"",SUMIF($D$5:$D$55,K14,$C$5:$C$55)+SUMIF($D$5:$D$55,K14,$B$5:$B$55),"")</f>
        <v/>
      </c>
    </row>
    <row r="15" customFormat="false" ht="13.8" hidden="false" customHeight="false" outlineLevel="0" collapsed="false">
      <c r="A15" s="28"/>
      <c r="B15" s="19"/>
      <c r="C15" s="20"/>
      <c r="D15" s="21"/>
      <c r="E15" s="22" t="str">
        <f aca="false">IF(F15="X",E14+C15+B15,"")</f>
        <v/>
      </c>
      <c r="F15" s="23"/>
      <c r="K15" s="26"/>
      <c r="L15" s="25" t="str">
        <f aca="false">IF(K15&lt;&gt;"",SUMIF($D$5:$D$55,K15,$C$5:$C$55)+SUMIF($D$5:$D$55,K15,$B$5:$B$55),"")</f>
        <v/>
      </c>
    </row>
    <row r="16" customFormat="false" ht="13.8" hidden="false" customHeight="false" outlineLevel="0" collapsed="false">
      <c r="A16" s="28"/>
      <c r="B16" s="19"/>
      <c r="C16" s="20"/>
      <c r="D16" s="21"/>
      <c r="E16" s="22" t="str">
        <f aca="false">IF(F16="X",E15+C16+B16,"")</f>
        <v/>
      </c>
      <c r="F16" s="23"/>
      <c r="K16" s="26"/>
      <c r="L16" s="25" t="str">
        <f aca="false">IF(K16&lt;&gt;"",SUMIF($D$5:$D$55,K16,$C$5:$C$55)+SUMIF($D$5:$D$55,K16,$B$5:$B$55),"")</f>
        <v/>
      </c>
    </row>
    <row r="17" customFormat="false" ht="13.8" hidden="false" customHeight="false" outlineLevel="0" collapsed="false">
      <c r="A17" s="28"/>
      <c r="B17" s="19"/>
      <c r="C17" s="20"/>
      <c r="D17" s="21"/>
      <c r="E17" s="22" t="str">
        <f aca="false">IF(F17="X",E16+C17+B17,"")</f>
        <v/>
      </c>
      <c r="F17" s="23"/>
      <c r="K17" s="26"/>
      <c r="L17" s="25" t="str">
        <f aca="false">IF(K17&lt;&gt;"",SUMIF($D$5:$D$55,K17,$C$5:$C$55)+SUMIF($D$5:$D$55,K17,$B$5:$B$55),"")</f>
        <v/>
      </c>
    </row>
    <row r="18" customFormat="false" ht="13.8" hidden="false" customHeight="false" outlineLevel="0" collapsed="false">
      <c r="A18" s="28"/>
      <c r="B18" s="19"/>
      <c r="C18" s="20"/>
      <c r="D18" s="21"/>
      <c r="E18" s="22" t="str">
        <f aca="false">IF(F18="X",E17+C18+B18,"")</f>
        <v/>
      </c>
      <c r="F18" s="23"/>
      <c r="K18" s="26"/>
      <c r="L18" s="25" t="str">
        <f aca="false">IF(K18&lt;&gt;"",SUMIF($D$5:$D$55,K18,$C$5:$C$55)+SUMIF($D$5:$D$55,K18,$B$5:$B$55),"")</f>
        <v/>
      </c>
    </row>
    <row r="19" customFormat="false" ht="13.8" hidden="false" customHeight="false" outlineLevel="0" collapsed="false">
      <c r="A19" s="28"/>
      <c r="B19" s="19"/>
      <c r="C19" s="20"/>
      <c r="D19" s="21"/>
      <c r="E19" s="22" t="str">
        <f aca="false">IF(F19="X",E18+C19+B19,"")</f>
        <v/>
      </c>
      <c r="F19" s="23"/>
      <c r="K19" s="26"/>
      <c r="L19" s="25" t="str">
        <f aca="false">IF(K19&lt;&gt;"",SUMIF($D$5:$D$55,K19,$C$5:$C$55)+SUMIF($D$5:$D$55,K19,$B$5:$B$55),"")</f>
        <v/>
      </c>
    </row>
    <row r="20" customFormat="false" ht="13.8" hidden="false" customHeight="false" outlineLevel="0" collapsed="false">
      <c r="A20" s="28"/>
      <c r="B20" s="19"/>
      <c r="C20" s="20"/>
      <c r="D20" s="21"/>
      <c r="E20" s="22" t="str">
        <f aca="false">IF(F20="X",E19+C20+B20,"")</f>
        <v/>
      </c>
      <c r="F20" s="37"/>
      <c r="K20" s="26"/>
      <c r="L20" s="25" t="str">
        <f aca="false">IF(K20&lt;&gt;"",SUMIF($D$5:$D$55,K20,$C$5:$C$55)+SUMIF($D$5:$D$55,K20,$B$5:$B$55),"")</f>
        <v/>
      </c>
    </row>
    <row r="21" customFormat="false" ht="13.8" hidden="false" customHeight="false" outlineLevel="0" collapsed="false">
      <c r="A21" s="28"/>
      <c r="B21" s="19"/>
      <c r="C21" s="20"/>
      <c r="D21" s="21"/>
      <c r="E21" s="22" t="str">
        <f aca="false">IF(F21="X",E20+C21+B21,"")</f>
        <v/>
      </c>
      <c r="F21" s="23"/>
      <c r="K21" s="26"/>
      <c r="L21" s="25" t="str">
        <f aca="false">IF(K21&lt;&gt;"",SUMIF($D$5:$D$55,K21,$C$5:$C$55)+SUMIF($D$5:$D$55,K21,$B$5:$B$55),"")</f>
        <v/>
      </c>
    </row>
    <row r="22" customFormat="false" ht="13.8" hidden="false" customHeight="false" outlineLevel="0" collapsed="false">
      <c r="A22" s="28"/>
      <c r="B22" s="19"/>
      <c r="C22" s="20"/>
      <c r="D22" s="21"/>
      <c r="E22" s="22" t="str">
        <f aca="false">IF(F22="X",E21+C22+B22,"")</f>
        <v/>
      </c>
      <c r="F22" s="23"/>
      <c r="K22" s="26"/>
      <c r="L22" s="25" t="str">
        <f aca="false">IF(K22&lt;&gt;"",SUMIF($D$5:$D$55,K22,$C$5:$C$55)+SUMIF($D$5:$D$55,K22,$B$5:$B$55),"")</f>
        <v/>
      </c>
    </row>
    <row r="23" customFormat="false" ht="13.8" hidden="false" customHeight="false" outlineLevel="0" collapsed="false">
      <c r="A23" s="28"/>
      <c r="B23" s="19"/>
      <c r="C23" s="20"/>
      <c r="D23" s="21"/>
      <c r="E23" s="22" t="str">
        <f aca="false">IF(F23="X",E22+C23+B23,"")</f>
        <v/>
      </c>
      <c r="F23" s="23"/>
      <c r="K23" s="26"/>
      <c r="L23" s="25" t="str">
        <f aca="false">IF(K23&lt;&gt;"",SUMIF($D$5:$D$55,K23,$C$5:$C$55)+SUMIF($D$5:$D$55,K23,$B$5:$B$55),"")</f>
        <v/>
      </c>
    </row>
    <row r="24" customFormat="false" ht="13.8" hidden="false" customHeight="false" outlineLevel="0" collapsed="false">
      <c r="A24" s="28"/>
      <c r="B24" s="19"/>
      <c r="C24" s="20"/>
      <c r="D24" s="21"/>
      <c r="E24" s="22" t="str">
        <f aca="false">IF(F24="X",E23+C24+B24,"")</f>
        <v/>
      </c>
      <c r="F24" s="23"/>
      <c r="K24" s="26"/>
      <c r="L24" s="25" t="str">
        <f aca="false">IF(K24&lt;&gt;"",SUMIF($D$5:$D$55,K24,$C$5:$C$55)+SUMIF($D$5:$D$55,K24,$B$5:$B$55),"")</f>
        <v/>
      </c>
    </row>
    <row r="25" customFormat="false" ht="13.8" hidden="false" customHeight="false" outlineLevel="0" collapsed="false">
      <c r="A25" s="28"/>
      <c r="B25" s="19"/>
      <c r="C25" s="20"/>
      <c r="D25" s="21"/>
      <c r="E25" s="22" t="str">
        <f aca="false">IF(F25="X",E24+C25+B25,"")</f>
        <v/>
      </c>
      <c r="F25" s="23"/>
      <c r="K25" s="26"/>
      <c r="L25" s="29"/>
    </row>
    <row r="26" customFormat="false" ht="13.8" hidden="false" customHeight="false" outlineLevel="0" collapsed="false">
      <c r="A26" s="28"/>
      <c r="B26" s="19"/>
      <c r="C26" s="20"/>
      <c r="D26" s="21"/>
      <c r="E26" s="22" t="str">
        <f aca="false">IF(F26="X",E25+C26+B26,"")</f>
        <v/>
      </c>
      <c r="F26" s="23"/>
      <c r="K26" s="26"/>
      <c r="L26" s="29"/>
    </row>
    <row r="27" customFormat="false" ht="13.8" hidden="false" customHeight="false" outlineLevel="0" collapsed="false">
      <c r="A27" s="28"/>
      <c r="B27" s="19"/>
      <c r="C27" s="20"/>
      <c r="D27" s="21"/>
      <c r="E27" s="22" t="str">
        <f aca="false">IF(F27="X",E26+C27+B27,"")</f>
        <v/>
      </c>
      <c r="F27" s="37"/>
      <c r="K27" s="26"/>
      <c r="L27" s="29"/>
    </row>
    <row r="28" customFormat="false" ht="13.8" hidden="false" customHeight="false" outlineLevel="0" collapsed="false">
      <c r="A28" s="28"/>
      <c r="B28" s="19"/>
      <c r="C28" s="31"/>
      <c r="D28" s="21"/>
      <c r="E28" s="22" t="str">
        <f aca="false">IF(F28="X",E27+C28+B28,"")</f>
        <v/>
      </c>
      <c r="F28" s="23"/>
      <c r="K28" s="26"/>
      <c r="L28" s="29"/>
    </row>
    <row r="29" customFormat="false" ht="13.8" hidden="false" customHeight="false" outlineLevel="0" collapsed="false">
      <c r="A29" s="28"/>
      <c r="B29" s="19"/>
      <c r="C29" s="20"/>
      <c r="D29" s="21"/>
      <c r="E29" s="22" t="str">
        <f aca="false">IF(F29="X",E28+C29+B29,"")</f>
        <v/>
      </c>
      <c r="F29" s="23"/>
      <c r="K29" s="26"/>
      <c r="L29" s="29"/>
    </row>
    <row r="30" customFormat="false" ht="13.8" hidden="false" customHeight="false" outlineLevel="0" collapsed="false">
      <c r="A30" s="28"/>
      <c r="B30" s="19"/>
      <c r="C30" s="20"/>
      <c r="D30" s="21"/>
      <c r="E30" s="22" t="str">
        <f aca="false">IF(F30="X",E29+C30+B30,"")</f>
        <v/>
      </c>
      <c r="F30" s="23"/>
      <c r="K30" s="26"/>
      <c r="L30" s="29"/>
    </row>
    <row r="31" customFormat="false" ht="13.8" hidden="false" customHeight="false" outlineLevel="0" collapsed="false">
      <c r="A31" s="28"/>
      <c r="B31" s="19"/>
      <c r="C31" s="20"/>
      <c r="D31" s="21"/>
      <c r="E31" s="22" t="str">
        <f aca="false">IF(F31="X",E30+C31+B31,"")</f>
        <v/>
      </c>
      <c r="F31" s="23"/>
      <c r="K31" s="26"/>
      <c r="L31" s="29"/>
    </row>
    <row r="32" customFormat="false" ht="13.8" hidden="false" customHeight="false" outlineLevel="0" collapsed="false">
      <c r="A32" s="28"/>
      <c r="B32" s="19"/>
      <c r="C32" s="20"/>
      <c r="D32" s="21"/>
      <c r="E32" s="22" t="str">
        <f aca="false">IF(F32="X",E31+C32+B32,"")</f>
        <v/>
      </c>
      <c r="F32" s="23"/>
      <c r="K32" s="26"/>
      <c r="L32" s="29"/>
    </row>
    <row r="33" customFormat="false" ht="13.8" hidden="false" customHeight="false" outlineLevel="0" collapsed="false">
      <c r="A33" s="28"/>
      <c r="B33" s="19"/>
      <c r="C33" s="20"/>
      <c r="D33" s="21"/>
      <c r="E33" s="22" t="str">
        <f aca="false">IF(F33="X",E32+C33+B33,"")</f>
        <v/>
      </c>
      <c r="F33" s="23"/>
      <c r="K33" s="26"/>
      <c r="L33" s="29"/>
    </row>
    <row r="34" customFormat="false" ht="13.8" hidden="false" customHeight="false" outlineLevel="0" collapsed="false">
      <c r="A34" s="28"/>
      <c r="B34" s="19"/>
      <c r="C34" s="20"/>
      <c r="D34" s="21"/>
      <c r="E34" s="22" t="str">
        <f aca="false">IF(F34="X",E33+C34+B34,"")</f>
        <v/>
      </c>
      <c r="F34" s="23"/>
      <c r="K34" s="26"/>
      <c r="L34" s="29"/>
    </row>
    <row r="35" customFormat="false" ht="13.8" hidden="false" customHeight="false" outlineLevel="0" collapsed="false">
      <c r="A35" s="28"/>
      <c r="B35" s="19"/>
      <c r="C35" s="20"/>
      <c r="D35" s="21"/>
      <c r="E35" s="22" t="str">
        <f aca="false">IF(F35="X",E34+C35+B35,"")</f>
        <v/>
      </c>
      <c r="F35" s="23"/>
      <c r="K35" s="26"/>
      <c r="L35" s="29" t="str">
        <f aca="false">IF(Tableau732331[[#This Row],[PRATIQUE]]&lt;&gt;"",SUMIF(Tableau3212[Raison],K35,Tableau3212[Débit])+SUMIF(Tableau3212[Raison],K35,Tableau3212[Crédit]),"")</f>
        <v/>
      </c>
    </row>
    <row r="36" customFormat="false" ht="13.8" hidden="false" customHeight="false" outlineLevel="0" collapsed="false">
      <c r="A36" s="28"/>
      <c r="B36" s="19"/>
      <c r="C36" s="20"/>
      <c r="D36" s="21"/>
      <c r="E36" s="22" t="str">
        <f aca="false">IF(F36="X",E35+C36+B36,"")</f>
        <v/>
      </c>
      <c r="F36" s="23"/>
      <c r="K36" s="65"/>
      <c r="L36" s="66"/>
    </row>
    <row r="37" customFormat="false" ht="13.8" hidden="false" customHeight="false" outlineLevel="0" collapsed="false">
      <c r="A37" s="28"/>
      <c r="B37" s="19"/>
      <c r="C37" s="20"/>
      <c r="D37" s="21"/>
      <c r="E37" s="22" t="str">
        <f aca="false">IF(F37="X",E36+C37+B37,"")</f>
        <v/>
      </c>
      <c r="F37" s="23"/>
      <c r="K37" s="65"/>
      <c r="L37" s="66"/>
    </row>
    <row r="38" customFormat="false" ht="13.8" hidden="false" customHeight="false" outlineLevel="0" collapsed="false">
      <c r="A38" s="28"/>
      <c r="B38" s="19"/>
      <c r="C38" s="20"/>
      <c r="D38" s="21"/>
      <c r="E38" s="22" t="str">
        <f aca="false">IF(F38="X",E37+C38+B38,"")</f>
        <v/>
      </c>
      <c r="F38" s="23"/>
      <c r="K38" s="67" t="s">
        <v>41</v>
      </c>
      <c r="L38" s="68" t="n">
        <f aca="false">SUMIF(Tableau3212[Raison],"Orange",Tableau3212[Débit])+SUMIF(Tableau3212[Raison],"TEGO",Tableau3212[Débit])+SUMIF(Tableau3212[Raison],"Carac",Tableau3212[Débit])+SUMIF(Tableau3212[Raison],"UNEO",Tableau3212[Débit])+SUMIF(Tableau3212[Raison],"Crédit Mutuel",Tableau3212[Débit])+SUMIF(Tableau3212[Raison],"Millesime",Tableau3212[Débit])+SUMIF(Tableau3212[Raison],"Loyer",Tableau3212[Débit])+SUMIF(Tableau3212[Raison],"GoWod",Tableau3212[Débit])+SUMIF(Tableau3212[Raison],"EPARMIL",Tableau3212[Débit])+SUMIF(Tableau3212[Raison],"Virement Livret Bébé",Tableau3212[Débit])</f>
        <v>0</v>
      </c>
    </row>
    <row r="39" customFormat="false" ht="13.8" hidden="false" customHeight="false" outlineLevel="0" collapsed="false">
      <c r="A39" s="28"/>
      <c r="B39" s="19"/>
      <c r="C39" s="20"/>
      <c r="D39" s="21"/>
      <c r="E39" s="22" t="str">
        <f aca="false">IF(F39="X",E38+C39+B39,"")</f>
        <v/>
      </c>
      <c r="F39" s="23"/>
      <c r="K39" s="34"/>
      <c r="L39" s="29"/>
    </row>
    <row r="40" customFormat="false" ht="13.8" hidden="false" customHeight="false" outlineLevel="0" collapsed="false">
      <c r="A40" s="28"/>
      <c r="B40" s="19"/>
      <c r="C40" s="20"/>
      <c r="D40" s="21"/>
      <c r="E40" s="22" t="str">
        <f aca="false">IF(F40="X",#REF!+C40+B40,"")</f>
        <v/>
      </c>
      <c r="F40" s="23"/>
      <c r="K40" s="32"/>
      <c r="L40" s="32"/>
    </row>
    <row r="41" customFormat="false" ht="13.8" hidden="false" customHeight="false" outlineLevel="0" collapsed="false">
      <c r="A41" s="28"/>
      <c r="B41" s="19"/>
      <c r="C41" s="20"/>
      <c r="D41" s="21"/>
      <c r="E41" s="22" t="str">
        <f aca="false">IF(F41="X",E40+C41+B41,"")</f>
        <v/>
      </c>
      <c r="F41" s="23"/>
      <c r="K41" s="72" t="s">
        <v>42</v>
      </c>
      <c r="L41" s="73" t="e">
        <f aca="false">I1+#REF!</f>
        <v>#REF!</v>
      </c>
    </row>
    <row r="42" customFormat="false" ht="13.8" hidden="false" customHeight="false" outlineLevel="0" collapsed="false">
      <c r="A42" s="28"/>
      <c r="B42" s="19"/>
      <c r="C42" s="20"/>
      <c r="D42" s="21"/>
      <c r="E42" s="22" t="str">
        <f aca="false">IF(F42="X",E41+C42+B42,"")</f>
        <v/>
      </c>
      <c r="F42" s="23"/>
      <c r="K42" s="71"/>
      <c r="L42" s="71"/>
    </row>
    <row r="43" customFormat="false" ht="13.8" hidden="false" customHeight="false" outlineLevel="0" collapsed="false">
      <c r="A43" s="28"/>
      <c r="B43" s="19"/>
      <c r="C43" s="20"/>
      <c r="D43" s="21"/>
      <c r="E43" s="22" t="str">
        <f aca="false">IF(F43="X",E42+C43+B43,"")</f>
        <v/>
      </c>
      <c r="F43" s="23"/>
      <c r="K43" s="65"/>
      <c r="L43" s="66"/>
    </row>
    <row r="44" customFormat="false" ht="13.8" hidden="false" customHeight="false" outlineLevel="0" collapsed="false">
      <c r="A44" s="28"/>
      <c r="B44" s="19"/>
      <c r="C44" s="20"/>
      <c r="D44" s="21"/>
      <c r="E44" s="22" t="str">
        <f aca="false">IF(F44="X",E43+C44+B44,"")</f>
        <v/>
      </c>
      <c r="F44" s="23"/>
      <c r="K44" s="41"/>
      <c r="L44" s="42"/>
    </row>
    <row r="45" customFormat="false" ht="13.8" hidden="false" customHeight="false" outlineLevel="0" collapsed="false">
      <c r="A45" s="28"/>
      <c r="B45" s="19"/>
      <c r="C45" s="20"/>
      <c r="D45" s="21"/>
      <c r="E45" s="22" t="str">
        <f aca="false">IF(F45="X",E44+C45+B45,"")</f>
        <v/>
      </c>
      <c r="F45" s="23"/>
    </row>
    <row r="46" customFormat="false" ht="13.8" hidden="false" customHeight="false" outlineLevel="0" collapsed="false">
      <c r="A46" s="28"/>
      <c r="B46" s="19"/>
      <c r="C46" s="20"/>
      <c r="D46" s="21"/>
      <c r="E46" s="22" t="str">
        <f aca="false">IF(F46="X",E45+C46+B46,"")</f>
        <v/>
      </c>
      <c r="F46" s="23"/>
    </row>
    <row r="47" customFormat="false" ht="13.8" hidden="false" customHeight="false" outlineLevel="0" collapsed="false">
      <c r="A47" s="28"/>
      <c r="B47" s="19"/>
      <c r="C47" s="20"/>
      <c r="D47" s="21"/>
      <c r="E47" s="22" t="str">
        <f aca="false">IF(F47="X",E46+C47+B47,"")</f>
        <v/>
      </c>
      <c r="F47" s="23"/>
    </row>
    <row r="48" customFormat="false" ht="13.8" hidden="false" customHeight="false" outlineLevel="0" collapsed="false">
      <c r="A48" s="28"/>
      <c r="B48" s="19"/>
      <c r="C48" s="20"/>
      <c r="D48" s="21"/>
      <c r="E48" s="22" t="str">
        <f aca="false">IF(F48="X",E47+C48+B48,"")</f>
        <v/>
      </c>
      <c r="F48" s="23"/>
    </row>
    <row r="49" customFormat="false" ht="13.8" hidden="false" customHeight="false" outlineLevel="0" collapsed="false">
      <c r="A49" s="56"/>
      <c r="B49" s="19"/>
      <c r="C49" s="20"/>
      <c r="D49" s="21"/>
      <c r="E49" s="22" t="str">
        <f aca="false">IF(F49="X",E48+C49+B49,"")</f>
        <v/>
      </c>
      <c r="F49" s="64"/>
    </row>
    <row r="50" customFormat="false" ht="13.8" hidden="false" customHeight="false" outlineLevel="0" collapsed="false">
      <c r="A50" s="56"/>
      <c r="B50" s="19"/>
      <c r="C50" s="20"/>
      <c r="D50" s="21"/>
      <c r="E50" s="22" t="str">
        <f aca="false">IF(F50="X",E49+C50+B50,"")</f>
        <v/>
      </c>
      <c r="F50" s="64"/>
    </row>
    <row r="51" customFormat="false" ht="13.8" hidden="false" customHeight="false" outlineLevel="0" collapsed="false">
      <c r="A51" s="56"/>
      <c r="B51" s="19"/>
      <c r="C51" s="20"/>
      <c r="D51" s="21"/>
      <c r="E51" s="22" t="str">
        <f aca="false">IF(F51="X",E50+C51+B51,"")</f>
        <v/>
      </c>
      <c r="F51" s="64"/>
    </row>
    <row r="52" customFormat="false" ht="13.8" hidden="false" customHeight="false" outlineLevel="0" collapsed="false">
      <c r="A52" s="56"/>
      <c r="B52" s="19"/>
      <c r="C52" s="20"/>
      <c r="D52" s="21"/>
      <c r="E52" s="22" t="str">
        <f aca="false">IF(F52="X",E51+C52+B52,"")</f>
        <v/>
      </c>
      <c r="F52" s="64"/>
    </row>
    <row r="53" customFormat="false" ht="13.8" hidden="false" customHeight="false" outlineLevel="0" collapsed="false">
      <c r="A53" s="56"/>
      <c r="B53" s="19"/>
      <c r="C53" s="20"/>
      <c r="D53" s="21"/>
      <c r="E53" s="22" t="str">
        <f aca="false">IF(F53="X",E52+C53+B53,"")</f>
        <v/>
      </c>
      <c r="F53" s="64"/>
    </row>
    <row r="54" customFormat="false" ht="13.8" hidden="false" customHeight="false" outlineLevel="0" collapsed="false">
      <c r="A54" s="56"/>
      <c r="B54" s="19"/>
      <c r="C54" s="20"/>
      <c r="D54" s="21"/>
      <c r="E54" s="22" t="str">
        <f aca="false">IF(F54="X",E53+C54+B54,"")</f>
        <v/>
      </c>
      <c r="F54" s="64"/>
    </row>
    <row r="55" customFormat="false" ht="13.8" hidden="false" customHeight="false" outlineLevel="0" collapsed="false">
      <c r="A55" s="56"/>
      <c r="B55" s="19"/>
      <c r="C55" s="20"/>
      <c r="D55" s="21"/>
      <c r="E55" s="22" t="str">
        <f aca="false">IF(F55="X",E54+C55+B55,"")</f>
        <v/>
      </c>
      <c r="F55" s="64"/>
    </row>
    <row r="56" customFormat="false" ht="13.8" hidden="false" customHeight="false" outlineLevel="0" collapsed="false">
      <c r="A56" s="56"/>
      <c r="B56" s="19"/>
      <c r="C56" s="20"/>
      <c r="D56" s="21"/>
      <c r="E56" s="22" t="str">
        <f aca="false">IF(F56="X",E55+C56+B56,"")</f>
        <v/>
      </c>
      <c r="F56" s="64"/>
    </row>
    <row r="57" customFormat="false" ht="13.8" hidden="false" customHeight="false" outlineLevel="0" collapsed="false">
      <c r="A57" s="56"/>
      <c r="B57" s="19"/>
      <c r="C57" s="20"/>
      <c r="D57" s="21"/>
      <c r="E57" s="22" t="str">
        <f aca="false">IF(F57="X",E56+C57+B57,"")</f>
        <v/>
      </c>
      <c r="F57" s="64"/>
      <c r="J57" s="36"/>
    </row>
    <row r="58" customFormat="false" ht="13.8" hidden="false" customHeight="false" outlineLevel="0" collapsed="false">
      <c r="A58" s="56"/>
      <c r="B58" s="19"/>
      <c r="C58" s="20"/>
      <c r="D58" s="21"/>
      <c r="E58" s="22" t="str">
        <f aca="false">IF(F58="X",E57+C58+B58,"")</f>
        <v/>
      </c>
      <c r="F58" s="64"/>
    </row>
    <row r="59" customFormat="false" ht="13.8" hidden="false" customHeight="false" outlineLevel="0" collapsed="false">
      <c r="A59" s="56"/>
      <c r="B59" s="19"/>
      <c r="C59" s="20"/>
      <c r="D59" s="21"/>
      <c r="E59" s="22" t="str">
        <f aca="false">IF(F59="X",E58+C59+B59,"")</f>
        <v/>
      </c>
      <c r="F59" s="57"/>
    </row>
    <row r="60" customFormat="false" ht="13.8" hidden="false" customHeight="false" outlineLevel="0" collapsed="false">
      <c r="A60" s="58"/>
      <c r="B60" s="19"/>
      <c r="C60" s="20"/>
      <c r="D60" s="21"/>
      <c r="E60" s="22" t="str">
        <f aca="false">IF(F60="X",E59+C60+B60,"")</f>
        <v/>
      </c>
      <c r="F60" s="57"/>
    </row>
    <row r="61" customFormat="false" ht="13.8" hidden="false" customHeight="false" outlineLevel="0" collapsed="false">
      <c r="A61" s="58"/>
      <c r="B61" s="19"/>
      <c r="C61" s="20"/>
      <c r="D61" s="21"/>
      <c r="E61" s="22" t="str">
        <f aca="false">IF(F61="X",E60+C61+B61,"")</f>
        <v/>
      </c>
      <c r="F61" s="57"/>
    </row>
    <row r="62" customFormat="false" ht="13.8" hidden="false" customHeight="false" outlineLevel="0" collapsed="false">
      <c r="A62" s="58"/>
      <c r="B62" s="19"/>
      <c r="C62" s="20"/>
      <c r="D62" s="21"/>
      <c r="E62" s="22" t="str">
        <f aca="false">IF(F62="X",E61+C62+B62,"")</f>
        <v/>
      </c>
      <c r="F62" s="57"/>
    </row>
    <row r="63" customFormat="false" ht="13.8" hidden="false" customHeight="false" outlineLevel="0" collapsed="false">
      <c r="A63" s="58"/>
      <c r="B63" s="19"/>
      <c r="C63" s="20"/>
      <c r="D63" s="21"/>
      <c r="E63" s="22" t="str">
        <f aca="false">IF(F63="X",E62+C63+B63,"")</f>
        <v/>
      </c>
      <c r="F63" s="57"/>
    </row>
    <row r="64" customFormat="false" ht="13.8" hidden="false" customHeight="false" outlineLevel="0" collapsed="false">
      <c r="A64" s="58"/>
      <c r="B64" s="19"/>
      <c r="C64" s="20"/>
      <c r="D64" s="21"/>
      <c r="E64" s="22" t="str">
        <f aca="false">IF(F64="X",E63+C64+B64,"")</f>
        <v/>
      </c>
      <c r="F64" s="57"/>
    </row>
    <row r="65" customFormat="false" ht="13.8" hidden="false" customHeight="false" outlineLevel="0" collapsed="false">
      <c r="A65" s="58"/>
      <c r="B65" s="19"/>
      <c r="C65" s="20"/>
      <c r="D65" s="21"/>
      <c r="E65" s="22" t="str">
        <f aca="false">IF(F65="X",E64+C65+B65,"")</f>
        <v/>
      </c>
      <c r="F65" s="57"/>
    </row>
    <row r="66" customFormat="false" ht="13.8" hidden="false" customHeight="false" outlineLevel="0" collapsed="false">
      <c r="A66" s="58"/>
      <c r="B66" s="19"/>
      <c r="C66" s="20"/>
      <c r="D66" s="21"/>
      <c r="E66" s="22" t="str">
        <f aca="false">IF(F66="X",E65+C66+B66,"")</f>
        <v/>
      </c>
      <c r="F66" s="57"/>
    </row>
    <row r="67" customFormat="false" ht="13.8" hidden="false" customHeight="false" outlineLevel="0" collapsed="false">
      <c r="A67" s="58"/>
      <c r="B67" s="19"/>
      <c r="C67" s="20"/>
      <c r="D67" s="21"/>
      <c r="E67" s="22" t="str">
        <f aca="false">IF(F67="X",E66+C67+B67,"")</f>
        <v/>
      </c>
      <c r="F67" s="57"/>
    </row>
    <row r="68" customFormat="false" ht="13.8" hidden="false" customHeight="false" outlineLevel="0" collapsed="false">
      <c r="A68" s="58"/>
      <c r="B68" s="19"/>
      <c r="C68" s="20"/>
      <c r="D68" s="21"/>
      <c r="E68" s="22" t="str">
        <f aca="false">IF(F68="X",E67+C68+B68,"")</f>
        <v/>
      </c>
      <c r="F68" s="57"/>
    </row>
    <row r="69" customFormat="false" ht="13.8" hidden="false" customHeight="false" outlineLevel="0" collapsed="false">
      <c r="A69" s="58"/>
      <c r="B69" s="19"/>
      <c r="C69" s="20"/>
      <c r="D69" s="21"/>
      <c r="E69" s="22" t="str">
        <f aca="false">IF(F69="X",E68+C69+B69,"")</f>
        <v/>
      </c>
      <c r="F69" s="57"/>
    </row>
    <row r="70" customFormat="false" ht="13.8" hidden="false" customHeight="false" outlineLevel="0" collapsed="false">
      <c r="A70" s="58"/>
      <c r="B70" s="19"/>
      <c r="C70" s="20"/>
      <c r="D70" s="21"/>
      <c r="E70" s="22" t="str">
        <f aca="false">IF(F70="X",E69+C70+B70,"")</f>
        <v/>
      </c>
      <c r="F70" s="57"/>
    </row>
    <row r="71" customFormat="false" ht="13.8" hidden="false" customHeight="false" outlineLevel="0" collapsed="false">
      <c r="A71" s="58"/>
      <c r="B71" s="19"/>
      <c r="C71" s="20"/>
      <c r="D71" s="21"/>
      <c r="E71" s="22" t="str">
        <f aca="false">IF(F71="X",E70+C71+B71,"")</f>
        <v/>
      </c>
      <c r="F71" s="57"/>
    </row>
    <row r="72" customFormat="false" ht="13.8" hidden="false" customHeight="false" outlineLevel="0" collapsed="false">
      <c r="A72" s="59"/>
      <c r="B72" s="60"/>
      <c r="C72" s="61"/>
      <c r="D72" s="62"/>
      <c r="E72" s="22" t="str">
        <f aca="false">IF(F72="X",E71+C72+B72,"")</f>
        <v/>
      </c>
      <c r="F72" s="63"/>
    </row>
    <row r="1048575" customFormat="false" ht="12.8" hidden="false" customHeight="false" outlineLevel="0" collapsed="false"/>
    <row r="1048576" customFormat="false" ht="12.8" hidden="false" customHeight="false" outlineLevel="0" collapsed="false"/>
  </sheetData>
  <mergeCells count="1">
    <mergeCell ref="K42:L42"/>
  </mergeCells>
  <conditionalFormatting sqref="L38">
    <cfRule type="cellIs" priority="2" operator="greaterThan" aboveAverage="0" equalAverage="0" bottom="0" percent="0" rank="0" text="" dxfId="555">
      <formula>0</formula>
    </cfRule>
    <cfRule type="cellIs" priority="3" operator="lessThan" aboveAverage="0" equalAverage="0" bottom="0" percent="0" rank="0" text="" dxfId="556">
      <formula>0</formula>
    </cfRule>
  </conditionalFormatting>
  <conditionalFormatting sqref="K35">
    <cfRule type="expression" priority="4" aboveAverage="0" equalAverage="0" bottom="0" percent="0" rank="0" text="" dxfId="557">
      <formula>L35&gt;0</formula>
    </cfRule>
    <cfRule type="expression" priority="5" aboveAverage="0" equalAverage="0" bottom="0" percent="0" rank="0" text="" dxfId="558">
      <formula>L35&lt;0</formula>
    </cfRule>
  </conditionalFormatting>
  <conditionalFormatting sqref="K34">
    <cfRule type="expression" priority="6" aboveAverage="0" equalAverage="0" bottom="0" percent="0" rank="0" text="" dxfId="559">
      <formula>L34&gt;0</formula>
    </cfRule>
    <cfRule type="expression" priority="7" aboveAverage="0" equalAverage="0" bottom="0" percent="0" rank="0" text="" dxfId="560">
      <formula>L34&lt;0</formula>
    </cfRule>
  </conditionalFormatting>
  <conditionalFormatting sqref="K33">
    <cfRule type="expression" priority="8" aboveAverage="0" equalAverage="0" bottom="0" percent="0" rank="0" text="" dxfId="561">
      <formula>L33&gt;0</formula>
    </cfRule>
    <cfRule type="expression" priority="9" aboveAverage="0" equalAverage="0" bottom="0" percent="0" rank="0" text="" dxfId="562">
      <formula>L33&lt;0</formula>
    </cfRule>
  </conditionalFormatting>
  <conditionalFormatting sqref="K32">
    <cfRule type="expression" priority="10" aboveAverage="0" equalAverage="0" bottom="0" percent="0" rank="0" text="" dxfId="563">
      <formula>L32&gt;0</formula>
    </cfRule>
    <cfRule type="expression" priority="11" aboveAverage="0" equalAverage="0" bottom="0" percent="0" rank="0" text="" dxfId="564">
      <formula>L32&lt;0</formula>
    </cfRule>
  </conditionalFormatting>
  <conditionalFormatting sqref="K31">
    <cfRule type="expression" priority="12" aboveAverage="0" equalAverage="0" bottom="0" percent="0" rank="0" text="" dxfId="565">
      <formula>L31&gt;0</formula>
    </cfRule>
    <cfRule type="expression" priority="13" aboveAverage="0" equalAverage="0" bottom="0" percent="0" rank="0" text="" dxfId="566">
      <formula>L31&lt;0</formula>
    </cfRule>
  </conditionalFormatting>
  <conditionalFormatting sqref="K30">
    <cfRule type="expression" priority="14" aboveAverage="0" equalAverage="0" bottom="0" percent="0" rank="0" text="" dxfId="567">
      <formula>L30&gt;0</formula>
    </cfRule>
    <cfRule type="expression" priority="15" aboveAverage="0" equalAverage="0" bottom="0" percent="0" rank="0" text="" dxfId="568">
      <formula>L30&lt;0</formula>
    </cfRule>
  </conditionalFormatting>
  <conditionalFormatting sqref="K29">
    <cfRule type="expression" priority="16" aboveAverage="0" equalAverage="0" bottom="0" percent="0" rank="0" text="" dxfId="569">
      <formula>L29&gt;0</formula>
    </cfRule>
    <cfRule type="expression" priority="17" aboveAverage="0" equalAverage="0" bottom="0" percent="0" rank="0" text="" dxfId="570">
      <formula>L29&lt;0</formula>
    </cfRule>
  </conditionalFormatting>
  <conditionalFormatting sqref="K28">
    <cfRule type="expression" priority="18" aboveAverage="0" equalAverage="0" bottom="0" percent="0" rank="0" text="" dxfId="571">
      <formula>L28&gt;0</formula>
    </cfRule>
    <cfRule type="expression" priority="19" aboveAverage="0" equalAverage="0" bottom="0" percent="0" rank="0" text="" dxfId="572">
      <formula>L28&lt;0</formula>
    </cfRule>
  </conditionalFormatting>
  <conditionalFormatting sqref="K27">
    <cfRule type="expression" priority="20" aboveAverage="0" equalAverage="0" bottom="0" percent="0" rank="0" text="" dxfId="573">
      <formula>L27&gt;0</formula>
    </cfRule>
    <cfRule type="expression" priority="21" aboveAverage="0" equalAverage="0" bottom="0" percent="0" rank="0" text="" dxfId="574">
      <formula>L27&lt;0</formula>
    </cfRule>
  </conditionalFormatting>
  <conditionalFormatting sqref="K26">
    <cfRule type="expression" priority="22" aboveAverage="0" equalAverage="0" bottom="0" percent="0" rank="0" text="" dxfId="575">
      <formula>L26&gt;0</formula>
    </cfRule>
    <cfRule type="expression" priority="23" aboveAverage="0" equalAverage="0" bottom="0" percent="0" rank="0" text="" dxfId="576">
      <formula>L26&lt;0</formula>
    </cfRule>
  </conditionalFormatting>
  <conditionalFormatting sqref="K25">
    <cfRule type="expression" priority="24" aboveAverage="0" equalAverage="0" bottom="0" percent="0" rank="0" text="" dxfId="577">
      <formula>L25&gt;0</formula>
    </cfRule>
    <cfRule type="expression" priority="25" aboveAverage="0" equalAverage="0" bottom="0" percent="0" rank="0" text="" dxfId="578">
      <formula>L25&lt;0</formula>
    </cfRule>
  </conditionalFormatting>
  <conditionalFormatting sqref="K24">
    <cfRule type="expression" priority="26" aboveAverage="0" equalAverage="0" bottom="0" percent="0" rank="0" text="" dxfId="579">
      <formula>L24&gt;0</formula>
    </cfRule>
    <cfRule type="expression" priority="27" aboveAverage="0" equalAverage="0" bottom="0" percent="0" rank="0" text="" dxfId="580">
      <formula>L24&lt;0</formula>
    </cfRule>
  </conditionalFormatting>
  <conditionalFormatting sqref="K23">
    <cfRule type="expression" priority="28" aboveAverage="0" equalAverage="0" bottom="0" percent="0" rank="0" text="" dxfId="581">
      <formula>L23&gt;0</formula>
    </cfRule>
    <cfRule type="expression" priority="29" aboveAverage="0" equalAverage="0" bottom="0" percent="0" rank="0" text="" dxfId="582">
      <formula>L23&lt;0</formula>
    </cfRule>
  </conditionalFormatting>
  <conditionalFormatting sqref="K22">
    <cfRule type="expression" priority="30" aboveAverage="0" equalAverage="0" bottom="0" percent="0" rank="0" text="" dxfId="583">
      <formula>L22&gt;0</formula>
    </cfRule>
    <cfRule type="expression" priority="31" aboveAverage="0" equalAverage="0" bottom="0" percent="0" rank="0" text="" dxfId="584">
      <formula>L22&lt;0</formula>
    </cfRule>
  </conditionalFormatting>
  <conditionalFormatting sqref="K21">
    <cfRule type="expression" priority="32" aboveAverage="0" equalAverage="0" bottom="0" percent="0" rank="0" text="" dxfId="585">
      <formula>L21&gt;0</formula>
    </cfRule>
    <cfRule type="expression" priority="33" aboveAverage="0" equalAverage="0" bottom="0" percent="0" rank="0" text="" dxfId="586">
      <formula>L21&lt;0</formula>
    </cfRule>
  </conditionalFormatting>
  <conditionalFormatting sqref="K20">
    <cfRule type="expression" priority="34" aboveAverage="0" equalAverage="0" bottom="0" percent="0" rank="0" text="" dxfId="587">
      <formula>L20&gt;0</formula>
    </cfRule>
    <cfRule type="expression" priority="35" aboveAverage="0" equalAverage="0" bottom="0" percent="0" rank="0" text="" dxfId="588">
      <formula>L20&lt;0</formula>
    </cfRule>
  </conditionalFormatting>
  <conditionalFormatting sqref="K19">
    <cfRule type="expression" priority="36" aboveAverage="0" equalAverage="0" bottom="0" percent="0" rank="0" text="" dxfId="589">
      <formula>L19&gt;0</formula>
    </cfRule>
    <cfRule type="expression" priority="37" aboveAverage="0" equalAverage="0" bottom="0" percent="0" rank="0" text="" dxfId="590">
      <formula>L19&lt;0</formula>
    </cfRule>
  </conditionalFormatting>
  <conditionalFormatting sqref="K17:K18">
    <cfRule type="expression" priority="38" aboveAverage="0" equalAverage="0" bottom="0" percent="0" rank="0" text="" dxfId="591">
      <formula>L17&gt;0</formula>
    </cfRule>
    <cfRule type="expression" priority="39" aboveAverage="0" equalAverage="0" bottom="0" percent="0" rank="0" text="" dxfId="592">
      <formula>L17&lt;0</formula>
    </cfRule>
  </conditionalFormatting>
  <conditionalFormatting sqref="K16">
    <cfRule type="expression" priority="40" aboveAverage="0" equalAverage="0" bottom="0" percent="0" rank="0" text="" dxfId="593">
      <formula>L16&gt;0</formula>
    </cfRule>
    <cfRule type="expression" priority="41" aboveAverage="0" equalAverage="0" bottom="0" percent="0" rank="0" text="" dxfId="594">
      <formula>L16&lt;0</formula>
    </cfRule>
  </conditionalFormatting>
  <conditionalFormatting sqref="K15">
    <cfRule type="expression" priority="42" aboveAverage="0" equalAverage="0" bottom="0" percent="0" rank="0" text="" dxfId="595">
      <formula>L15&gt;0</formula>
    </cfRule>
    <cfRule type="expression" priority="43" aboveAverage="0" equalAverage="0" bottom="0" percent="0" rank="0" text="" dxfId="596">
      <formula>L15&lt;0</formula>
    </cfRule>
  </conditionalFormatting>
  <conditionalFormatting sqref="K14">
    <cfRule type="expression" priority="44" aboveAverage="0" equalAverage="0" bottom="0" percent="0" rank="0" text="" dxfId="597">
      <formula>L14&gt;0</formula>
    </cfRule>
    <cfRule type="expression" priority="45" aboveAverage="0" equalAverage="0" bottom="0" percent="0" rank="0" text="" dxfId="598">
      <formula>L14&lt;0</formula>
    </cfRule>
  </conditionalFormatting>
  <conditionalFormatting sqref="K13">
    <cfRule type="expression" priority="46" aboveAverage="0" equalAverage="0" bottom="0" percent="0" rank="0" text="" dxfId="599">
      <formula>L13&gt;0</formula>
    </cfRule>
    <cfRule type="expression" priority="47" aboveAverage="0" equalAverage="0" bottom="0" percent="0" rank="0" text="" dxfId="600">
      <formula>L13&lt;0</formula>
    </cfRule>
  </conditionalFormatting>
  <conditionalFormatting sqref="K12">
    <cfRule type="expression" priority="48" aboveAverage="0" equalAverage="0" bottom="0" percent="0" rank="0" text="" dxfId="601">
      <formula>L12&gt;0</formula>
    </cfRule>
    <cfRule type="expression" priority="49" aboveAverage="0" equalAverage="0" bottom="0" percent="0" rank="0" text="" dxfId="602">
      <formula>L12&lt;0</formula>
    </cfRule>
  </conditionalFormatting>
  <conditionalFormatting sqref="K11">
    <cfRule type="expression" priority="50" aboveAverage="0" equalAverage="0" bottom="0" percent="0" rank="0" text="" dxfId="603">
      <formula>L11&gt;0</formula>
    </cfRule>
    <cfRule type="expression" priority="51" aboveAverage="0" equalAverage="0" bottom="0" percent="0" rank="0" text="" dxfId="604">
      <formula>L11&lt;0</formula>
    </cfRule>
  </conditionalFormatting>
  <conditionalFormatting sqref="K10">
    <cfRule type="expression" priority="52" aboveAverage="0" equalAverage="0" bottom="0" percent="0" rank="0" text="" dxfId="605">
      <formula>L10&gt;0</formula>
    </cfRule>
    <cfRule type="expression" priority="53" aboveAverage="0" equalAverage="0" bottom="0" percent="0" rank="0" text="" dxfId="606">
      <formula>L10&lt;0</formula>
    </cfRule>
  </conditionalFormatting>
  <conditionalFormatting sqref="K9">
    <cfRule type="expression" priority="54" aboveAverage="0" equalAverage="0" bottom="0" percent="0" rank="0" text="" dxfId="607">
      <formula>L9&gt;0</formula>
    </cfRule>
    <cfRule type="expression" priority="55" aboveAverage="0" equalAverage="0" bottom="0" percent="0" rank="0" text="" dxfId="608">
      <formula>L9&lt;0</formula>
    </cfRule>
  </conditionalFormatting>
  <conditionalFormatting sqref="K8">
    <cfRule type="expression" priority="56" aboveAverage="0" equalAverage="0" bottom="0" percent="0" rank="0" text="" dxfId="609">
      <formula>L8&gt;0</formula>
    </cfRule>
    <cfRule type="expression" priority="57" aboveAverage="0" equalAverage="0" bottom="0" percent="0" rank="0" text="" dxfId="610">
      <formula>L8&lt;0</formula>
    </cfRule>
  </conditionalFormatting>
  <conditionalFormatting sqref="K7">
    <cfRule type="expression" priority="58" aboveAverage="0" equalAverage="0" bottom="0" percent="0" rank="0" text="" dxfId="611">
      <formula>L7&gt;0</formula>
    </cfRule>
    <cfRule type="expression" priority="59" aboveAverage="0" equalAverage="0" bottom="0" percent="0" rank="0" text="" dxfId="612">
      <formula>L7&lt;0</formula>
    </cfRule>
  </conditionalFormatting>
  <conditionalFormatting sqref="K6">
    <cfRule type="expression" priority="60" aboveAverage="0" equalAverage="0" bottom="0" percent="0" rank="0" text="" dxfId="613">
      <formula>L6&gt;0</formula>
    </cfRule>
    <cfRule type="expression" priority="61" aboveAverage="0" equalAverage="0" bottom="0" percent="0" rank="0" text="" dxfId="614">
      <formula>L6&lt;0</formula>
    </cfRule>
  </conditionalFormatting>
  <conditionalFormatting sqref="K5">
    <cfRule type="expression" priority="62" aboveAverage="0" equalAverage="0" bottom="0" percent="0" rank="0" text="" dxfId="615">
      <formula>L5&gt;0</formula>
    </cfRule>
    <cfRule type="expression" priority="63" aboveAverage="0" equalAverage="0" bottom="0" percent="0" rank="0" text="" dxfId="616">
      <formula>L5&lt;0</formula>
    </cfRule>
  </conditionalFormatting>
  <conditionalFormatting sqref="L30">
    <cfRule type="cellIs" priority="64" operator="lessThan" aboveAverage="0" equalAverage="0" bottom="0" percent="0" rank="0" text="" dxfId="617">
      <formula>0</formula>
    </cfRule>
    <cfRule type="cellIs" priority="65" operator="greaterThan" aboveAverage="0" equalAverage="0" bottom="0" percent="0" rank="0" text="" dxfId="618">
      <formula>0</formula>
    </cfRule>
  </conditionalFormatting>
  <conditionalFormatting sqref="L29">
    <cfRule type="cellIs" priority="66" operator="lessThan" aboveAverage="0" equalAverage="0" bottom="0" percent="0" rank="0" text="" dxfId="619">
      <formula>0</formula>
    </cfRule>
    <cfRule type="cellIs" priority="67" operator="greaterThan" aboveAverage="0" equalAverage="0" bottom="0" percent="0" rank="0" text="" dxfId="620">
      <formula>0</formula>
    </cfRule>
  </conditionalFormatting>
  <conditionalFormatting sqref="L28">
    <cfRule type="cellIs" priority="68" operator="lessThan" aboveAverage="0" equalAverage="0" bottom="0" percent="0" rank="0" text="" dxfId="621">
      <formula>0</formula>
    </cfRule>
    <cfRule type="cellIs" priority="69" operator="greaterThan" aboveAverage="0" equalAverage="0" bottom="0" percent="0" rank="0" text="" dxfId="622">
      <formula>0</formula>
    </cfRule>
  </conditionalFormatting>
  <conditionalFormatting sqref="L27">
    <cfRule type="cellIs" priority="70" operator="lessThan" aboveAverage="0" equalAverage="0" bottom="0" percent="0" rank="0" text="" dxfId="623">
      <formula>0</formula>
    </cfRule>
    <cfRule type="cellIs" priority="71" operator="greaterThan" aboveAverage="0" equalAverage="0" bottom="0" percent="0" rank="0" text="" dxfId="624">
      <formula>0</formula>
    </cfRule>
  </conditionalFormatting>
  <conditionalFormatting sqref="L26">
    <cfRule type="cellIs" priority="72" operator="lessThan" aboveAverage="0" equalAverage="0" bottom="0" percent="0" rank="0" text="" dxfId="625">
      <formula>0</formula>
    </cfRule>
    <cfRule type="cellIs" priority="73" operator="greaterThan" aboveAverage="0" equalAverage="0" bottom="0" percent="0" rank="0" text="" dxfId="626">
      <formula>0</formula>
    </cfRule>
  </conditionalFormatting>
  <conditionalFormatting sqref="L25">
    <cfRule type="cellIs" priority="74" operator="lessThan" aboveAverage="0" equalAverage="0" bottom="0" percent="0" rank="0" text="" dxfId="627">
      <formula>0</formula>
    </cfRule>
    <cfRule type="cellIs" priority="75" operator="greaterThan" aboveAverage="0" equalAverage="0" bottom="0" percent="0" rank="0" text="" dxfId="628">
      <formula>0</formula>
    </cfRule>
  </conditionalFormatting>
  <conditionalFormatting sqref="L39:L41 L6:L35">
    <cfRule type="cellIs" priority="76" operator="greaterThan" aboveAverage="0" equalAverage="0" bottom="0" percent="0" rank="0" text="" dxfId="629">
      <formula>0</formula>
    </cfRule>
    <cfRule type="cellIs" priority="77" operator="lessThan" aboveAverage="0" equalAverage="0" bottom="0" percent="0" rank="0" text="" dxfId="630">
      <formula>0</formula>
    </cfRule>
  </conditionalFormatting>
  <conditionalFormatting sqref="L41:L42">
    <cfRule type="cellIs" priority="78" operator="greaterThan" aboveAverage="0" equalAverage="0" bottom="0" percent="0" rank="0" text="" dxfId="631">
      <formula>0</formula>
    </cfRule>
    <cfRule type="expression" priority="79" aboveAverage="0" equalAverage="0" bottom="0" percent="0" rank="0" text="" dxfId="632">
      <formula>$L$5:$L$44&lt;0</formula>
    </cfRule>
  </conditionalFormatting>
  <conditionalFormatting sqref="L24">
    <cfRule type="cellIs" priority="80" operator="lessThan" aboveAverage="0" equalAverage="0" bottom="0" percent="0" rank="0" text="" dxfId="95">
      <formula>0</formula>
    </cfRule>
    <cfRule type="cellIs" priority="81" operator="greaterThan" aboveAverage="0" equalAverage="0" bottom="0" percent="0" rank="0" text="" dxfId="96">
      <formula>0</formula>
    </cfRule>
  </conditionalFormatting>
  <conditionalFormatting sqref="L23">
    <cfRule type="cellIs" priority="82" operator="lessThan" aboveAverage="0" equalAverage="0" bottom="0" percent="0" rank="0" text="" dxfId="97">
      <formula>0</formula>
    </cfRule>
    <cfRule type="cellIs" priority="83" operator="greaterThan" aboveAverage="0" equalAverage="0" bottom="0" percent="0" rank="0" text="" dxfId="98">
      <formula>0</formula>
    </cfRule>
  </conditionalFormatting>
  <conditionalFormatting sqref="L22">
    <cfRule type="cellIs" priority="84" operator="lessThan" aboveAverage="0" equalAverage="0" bottom="0" percent="0" rank="0" text="" dxfId="99">
      <formula>0</formula>
    </cfRule>
    <cfRule type="cellIs" priority="85" operator="greaterThan" aboveAverage="0" equalAverage="0" bottom="0" percent="0" rank="0" text="" dxfId="100">
      <formula>0</formula>
    </cfRule>
  </conditionalFormatting>
  <conditionalFormatting sqref="L21">
    <cfRule type="cellIs" priority="86" operator="lessThan" aboveAverage="0" equalAverage="0" bottom="0" percent="0" rank="0" text="" dxfId="101">
      <formula>0</formula>
    </cfRule>
    <cfRule type="cellIs" priority="87" operator="greaterThan" aboveAverage="0" equalAverage="0" bottom="0" percent="0" rank="0" text="" dxfId="102">
      <formula>0</formula>
    </cfRule>
  </conditionalFormatting>
  <conditionalFormatting sqref="L20">
    <cfRule type="cellIs" priority="88" operator="lessThan" aboveAverage="0" equalAverage="0" bottom="0" percent="0" rank="0" text="" dxfId="103">
      <formula>0</formula>
    </cfRule>
    <cfRule type="cellIs" priority="89" operator="greaterThan" aboveAverage="0" equalAverage="0" bottom="0" percent="0" rank="0" text="" dxfId="104">
      <formula>0</formula>
    </cfRule>
  </conditionalFormatting>
  <conditionalFormatting sqref="L13">
    <cfRule type="cellIs" priority="90" operator="lessThan" aboveAverage="0" equalAverage="0" bottom="0" percent="0" rank="0" text="" dxfId="105">
      <formula>0</formula>
    </cfRule>
    <cfRule type="cellIs" priority="91" operator="greaterThan" aboveAverage="0" equalAverage="0" bottom="0" percent="0" rank="0" text="" dxfId="106">
      <formula>0</formula>
    </cfRule>
  </conditionalFormatting>
  <conditionalFormatting sqref="L12">
    <cfRule type="cellIs" priority="92" operator="lessThan" aboveAverage="0" equalAverage="0" bottom="0" percent="0" rank="0" text="" dxfId="107">
      <formula>0</formula>
    </cfRule>
    <cfRule type="cellIs" priority="93" operator="greaterThan" aboveAverage="0" equalAverage="0" bottom="0" percent="0" rank="0" text="" dxfId="108">
      <formula>0</formula>
    </cfRule>
  </conditionalFormatting>
  <conditionalFormatting sqref="L11">
    <cfRule type="cellIs" priority="94" operator="lessThan" aboveAverage="0" equalAverage="0" bottom="0" percent="0" rank="0" text="" dxfId="109">
      <formula>0</formula>
    </cfRule>
    <cfRule type="cellIs" priority="95" operator="greaterThan" aboveAverage="0" equalAverage="0" bottom="0" percent="0" rank="0" text="" dxfId="110">
      <formula>0</formula>
    </cfRule>
  </conditionalFormatting>
  <conditionalFormatting sqref="L10">
    <cfRule type="cellIs" priority="96" operator="lessThan" aboveAverage="0" equalAverage="0" bottom="0" percent="0" rank="0" text="" dxfId="111">
      <formula>0</formula>
    </cfRule>
    <cfRule type="cellIs" priority="97" operator="greaterThan" aboveAverage="0" equalAverage="0" bottom="0" percent="0" rank="0" text="" dxfId="112">
      <formula>0</formula>
    </cfRule>
  </conditionalFormatting>
  <conditionalFormatting sqref="L9">
    <cfRule type="cellIs" priority="98" operator="lessThan" aboveAverage="0" equalAverage="0" bottom="0" percent="0" rank="0" text="" dxfId="113">
      <formula>0</formula>
    </cfRule>
    <cfRule type="cellIs" priority="99" operator="greaterThan" aboveAverage="0" equalAverage="0" bottom="0" percent="0" rank="0" text="" dxfId="114">
      <formula>0</formula>
    </cfRule>
  </conditionalFormatting>
  <conditionalFormatting sqref="L8">
    <cfRule type="cellIs" priority="100" operator="lessThan" aboveAverage="0" equalAverage="0" bottom="0" percent="0" rank="0" text="" dxfId="115">
      <formula>0</formula>
    </cfRule>
    <cfRule type="cellIs" priority="101" operator="greaterThan" aboveAverage="0" equalAverage="0" bottom="0" percent="0" rank="0" text="" dxfId="116">
      <formula>0</formula>
    </cfRule>
  </conditionalFormatting>
  <conditionalFormatting sqref="L7">
    <cfRule type="cellIs" priority="102" operator="lessThan" aboveAverage="0" equalAverage="0" bottom="0" percent="0" rank="0" text="" dxfId="117">
      <formula>0</formula>
    </cfRule>
    <cfRule type="cellIs" priority="103" operator="greaterThan" aboveAverage="0" equalAverage="0" bottom="0" percent="0" rank="0" text="" dxfId="118">
      <formula>0</formula>
    </cfRule>
  </conditionalFormatting>
  <conditionalFormatting sqref="L6">
    <cfRule type="cellIs" priority="104" operator="lessThan" aboveAverage="0" equalAverage="0" bottom="0" percent="0" rank="0" text="" dxfId="119">
      <formula>0</formula>
    </cfRule>
    <cfRule type="cellIs" priority="105" operator="greaterThan" aboveAverage="0" equalAverage="0" bottom="0" percent="0" rank="0" text="" dxfId="120">
      <formula>0</formula>
    </cfRule>
  </conditionalFormatting>
  <conditionalFormatting sqref="L5">
    <cfRule type="cellIs" priority="106" operator="lessThan" aboveAverage="0" equalAverage="0" bottom="0" percent="0" rank="0" text="" dxfId="121">
      <formula>0</formula>
    </cfRule>
    <cfRule type="cellIs" priority="107" operator="greaterThan" aboveAverage="0" equalAverage="0" bottom="0" percent="0" rank="0" text="" dxfId="122">
      <formula>0</formula>
    </cfRule>
  </conditionalFormatting>
  <conditionalFormatting sqref="L5:L24">
    <cfRule type="cellIs" priority="108" operator="greaterThan" aboveAverage="0" equalAverage="0" bottom="0" percent="0" rank="0" text="" dxfId="123">
      <formula>0</formula>
    </cfRule>
    <cfRule type="cellIs" priority="109" operator="lessThan" aboveAverage="0" equalAverage="0" bottom="0" percent="0" rank="0" text="" dxfId="124">
      <formula>0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048576"/>
  <sheetViews>
    <sheetView showFormulas="false" showGridLines="true" showRowColHeaders="true" showZeros="true" rightToLeft="false" tabSelected="false" showOutlineSymbols="true" defaultGridColor="true" view="normal" topLeftCell="A16" colorId="64" zoomScale="100" zoomScaleNormal="100" zoomScalePageLayoutView="100" workbookViewId="0">
      <selection pane="topLeft" activeCell="B2" activeCellId="0" sqref="B2"/>
    </sheetView>
  </sheetViews>
  <sheetFormatPr defaultColWidth="11.4453125" defaultRowHeight="13.8" zeroHeight="false" outlineLevelRow="0" outlineLevelCol="0"/>
  <cols>
    <col collapsed="false" customWidth="true" hidden="false" outlineLevel="0" max="1" min="1" style="1" width="13.88"/>
    <col collapsed="false" customWidth="false" hidden="false" outlineLevel="0" max="3" min="2" style="1" width="11.44"/>
    <col collapsed="false" customWidth="true" hidden="false" outlineLevel="0" max="4" min="4" style="1" width="25.88"/>
    <col collapsed="false" customWidth="true" hidden="false" outlineLevel="0" max="5" min="5" style="1" width="12.88"/>
    <col collapsed="false" customWidth="true" hidden="false" outlineLevel="0" max="6" min="6" style="1" width="8.88"/>
    <col collapsed="false" customWidth="false" hidden="false" outlineLevel="0" max="7" min="7" style="1" width="11.44"/>
    <col collapsed="false" customWidth="true" hidden="false" outlineLevel="0" max="8" min="8" style="1" width="15.56"/>
    <col collapsed="false" customWidth="false" hidden="false" outlineLevel="0" max="10" min="9" style="1" width="11.44"/>
    <col collapsed="false" customWidth="true" hidden="false" outlineLevel="0" max="11" min="11" style="1" width="25.67"/>
    <col collapsed="false" customWidth="true" hidden="false" outlineLevel="0" max="12" min="12" style="1" width="11.56"/>
    <col collapsed="false" customWidth="false" hidden="false" outlineLevel="0" max="13" min="13" style="1" width="11.44"/>
    <col collapsed="false" customWidth="true" hidden="false" outlineLevel="0" max="14" min="14" style="1" width="25.56"/>
    <col collapsed="false" customWidth="false" hidden="false" outlineLevel="0" max="16384" min="15" style="1" width="11.44"/>
  </cols>
  <sheetData>
    <row r="1" customFormat="false" ht="14.25" hidden="false" customHeight="false" outlineLevel="0" collapsed="false">
      <c r="A1" s="2" t="s">
        <v>0</v>
      </c>
      <c r="B1" s="3"/>
      <c r="D1" s="4" t="s">
        <v>1</v>
      </c>
      <c r="E1" s="3" t="n">
        <f aca="false">SUM(C5:C45)+SUM(B5:B45)-SUMIF(Tableau3210[Raison],"Salaire",Tableau3210[Crédit])</f>
        <v>0</v>
      </c>
      <c r="F1" s="5"/>
      <c r="G1" s="6"/>
      <c r="H1" s="4" t="s">
        <v>50</v>
      </c>
      <c r="I1" s="3" t="n">
        <f aca="false">IF(SUMIF(Tableau3210[Raison],"Salaire",Tableau3210[Crédit])=0,2200,SUMIF(Tableau3210[Raison],"Salaire",Tableau3210[Crédit]))</f>
        <v>2200</v>
      </c>
    </row>
    <row r="2" customFormat="false" ht="15" hidden="false" customHeight="false" outlineLevel="0" collapsed="false">
      <c r="A2" s="2" t="s">
        <v>3</v>
      </c>
      <c r="B2" s="3"/>
      <c r="D2" s="4" t="s">
        <v>4</v>
      </c>
      <c r="E2" s="3" t="n">
        <f aca="false">I1+E1</f>
        <v>2200</v>
      </c>
      <c r="F2" s="7"/>
      <c r="G2" s="8" t="n">
        <f aca="false">(100/I1)*E2/100</f>
        <v>1</v>
      </c>
    </row>
    <row r="3" customFormat="false" ht="14.25" hidden="false" customHeight="false" outlineLevel="0" collapsed="false">
      <c r="F3" s="9"/>
    </row>
    <row r="4" customFormat="false" ht="13.8" hidden="false" customHeight="false" outlineLevel="0" collapsed="false">
      <c r="A4" s="10" t="s">
        <v>5</v>
      </c>
      <c r="B4" s="11" t="s">
        <v>6</v>
      </c>
      <c r="C4" s="12" t="s">
        <v>7</v>
      </c>
      <c r="D4" s="13" t="s">
        <v>8</v>
      </c>
      <c r="E4" s="14" t="s">
        <v>9</v>
      </c>
      <c r="F4" s="15" t="s">
        <v>10</v>
      </c>
      <c r="K4" s="16" t="s">
        <v>11</v>
      </c>
      <c r="L4" s="17" t="s">
        <v>12</v>
      </c>
    </row>
    <row r="5" customFormat="false" ht="13.8" hidden="false" customHeight="false" outlineLevel="0" collapsed="false">
      <c r="A5" s="28"/>
      <c r="B5" s="19"/>
      <c r="C5" s="20"/>
      <c r="D5" s="21"/>
      <c r="E5" s="22" t="str">
        <f aca="false">IF(F5="X",B1+C5+B5,"")</f>
        <v/>
      </c>
      <c r="F5" s="23"/>
      <c r="K5" s="24"/>
      <c r="L5" s="25" t="n">
        <f aca="false">IF(K5&lt;&gt;"",SUMIF($D$5:$D$55,K5,$C$5:$C$55)+SUMIF($D$5:$D$55,K5,$B$5:$B$55))</f>
        <v>0</v>
      </c>
    </row>
    <row r="6" customFormat="false" ht="13.8" hidden="false" customHeight="false" outlineLevel="0" collapsed="false">
      <c r="A6" s="28"/>
      <c r="B6" s="19"/>
      <c r="C6" s="20"/>
      <c r="D6" s="21"/>
      <c r="E6" s="22" t="str">
        <f aca="false">IF(F6="X",E5+C6+B6,"")</f>
        <v/>
      </c>
      <c r="F6" s="23"/>
      <c r="K6" s="26"/>
      <c r="L6" s="25" t="str">
        <f aca="false">IF(K6&lt;&gt;"",SUMIF($D$5:$D$55,K6,$C$5:$C$55)+SUMIF($D$5:$D$55,K6,$B$5:$B$55),"")</f>
        <v/>
      </c>
    </row>
    <row r="7" customFormat="false" ht="13.8" hidden="false" customHeight="false" outlineLevel="0" collapsed="false">
      <c r="A7" s="28"/>
      <c r="B7" s="19"/>
      <c r="C7" s="20"/>
      <c r="D7" s="21"/>
      <c r="E7" s="22" t="str">
        <f aca="false">IF(F7="X",E6+C7+B7,"")</f>
        <v/>
      </c>
      <c r="F7" s="23"/>
      <c r="I7" s="74"/>
      <c r="K7" s="26"/>
      <c r="L7" s="25" t="str">
        <f aca="false">IF(K7&lt;&gt;"",SUMIF($D$5:$D$55,K7,$C$5:$C$55)+SUMIF($D$5:$D$55,K7,$B$5:$B$55),"")</f>
        <v/>
      </c>
    </row>
    <row r="8" customFormat="false" ht="13.8" hidden="false" customHeight="false" outlineLevel="0" collapsed="false">
      <c r="A8" s="28"/>
      <c r="B8" s="19"/>
      <c r="C8" s="20"/>
      <c r="D8" s="21"/>
      <c r="E8" s="22" t="str">
        <f aca="false">IF(F8="X",E7+C8+B8,"")</f>
        <v/>
      </c>
      <c r="F8" s="23"/>
      <c r="I8" s="38"/>
      <c r="K8" s="26"/>
      <c r="L8" s="25" t="str">
        <f aca="false">IF(K8&lt;&gt;"",SUMIF($D$5:$D$55,K8,$C$5:$C$55)+SUMIF($D$5:$D$55,K8,$B$5:$B$55),"")</f>
        <v/>
      </c>
    </row>
    <row r="9" customFormat="false" ht="13.8" hidden="false" customHeight="false" outlineLevel="0" collapsed="false">
      <c r="A9" s="28"/>
      <c r="B9" s="19"/>
      <c r="C9" s="20"/>
      <c r="D9" s="21"/>
      <c r="E9" s="22" t="str">
        <f aca="false">IF(F9="X",E8+C9+B9,"")</f>
        <v/>
      </c>
      <c r="F9" s="23"/>
      <c r="K9" s="26"/>
      <c r="L9" s="25" t="str">
        <f aca="false">IF(K9&lt;&gt;"",SUMIF($D$5:$D$55,K9,$C$5:$C$55)+SUMIF($D$5:$D$55,K9,$B$5:$B$55),"")</f>
        <v/>
      </c>
    </row>
    <row r="10" customFormat="false" ht="13.8" hidden="false" customHeight="false" outlineLevel="0" collapsed="false">
      <c r="A10" s="28"/>
      <c r="B10" s="19"/>
      <c r="C10" s="20"/>
      <c r="D10" s="21"/>
      <c r="E10" s="22" t="str">
        <f aca="false">IF(F10="X",E9+C10+B10,"")</f>
        <v/>
      </c>
      <c r="F10" s="23"/>
      <c r="K10" s="26"/>
      <c r="L10" s="25" t="str">
        <f aca="false">IF(K10&lt;&gt;"",SUMIF($D$5:$D$55,K10,$C$5:$C$55)+SUMIF($D$5:$D$55,K10,$B$5:$B$55),"")</f>
        <v/>
      </c>
    </row>
    <row r="11" customFormat="false" ht="13.8" hidden="false" customHeight="false" outlineLevel="0" collapsed="false">
      <c r="A11" s="28"/>
      <c r="B11" s="19"/>
      <c r="C11" s="20"/>
      <c r="D11" s="21"/>
      <c r="E11" s="22" t="str">
        <f aca="false">IF(F11="X",E10+C11+B11,"")</f>
        <v/>
      </c>
      <c r="F11" s="23"/>
      <c r="K11" s="26"/>
      <c r="L11" s="25" t="str">
        <f aca="false">IF(K11&lt;&gt;"",SUMIF($D$5:$D$55,K11,$C$5:$C$55)+SUMIF($D$5:$D$55,K11,$B$5:$B$55),"")</f>
        <v/>
      </c>
    </row>
    <row r="12" customFormat="false" ht="13.8" hidden="false" customHeight="false" outlineLevel="0" collapsed="false">
      <c r="A12" s="28"/>
      <c r="B12" s="19"/>
      <c r="C12" s="20"/>
      <c r="D12" s="21"/>
      <c r="E12" s="22" t="str">
        <f aca="false">IF(F12="X",E11+C12+B12,"")</f>
        <v/>
      </c>
      <c r="F12" s="37"/>
      <c r="K12" s="26"/>
      <c r="L12" s="25" t="str">
        <f aca="false">IF(K12&lt;&gt;"",SUMIF($D$5:$D$55,K12,$C$5:$C$55)+SUMIF($D$5:$D$55,K12,$B$5:$B$55),"")</f>
        <v/>
      </c>
    </row>
    <row r="13" customFormat="false" ht="13.8" hidden="false" customHeight="false" outlineLevel="0" collapsed="false">
      <c r="A13" s="28"/>
      <c r="B13" s="19"/>
      <c r="C13" s="20"/>
      <c r="D13" s="21"/>
      <c r="E13" s="22" t="str">
        <f aca="false">IF(F13="X",E12+C13+B13,"")</f>
        <v/>
      </c>
      <c r="F13" s="37"/>
      <c r="K13" s="26"/>
      <c r="L13" s="25" t="str">
        <f aca="false">IF(K13&lt;&gt;"",SUMIF($D$5:$D$55,K13,$C$5:$C$55)+SUMIF($D$5:$D$55,K13,$B$5:$B$55),"")</f>
        <v/>
      </c>
    </row>
    <row r="14" customFormat="false" ht="13.8" hidden="false" customHeight="false" outlineLevel="0" collapsed="false">
      <c r="A14" s="28"/>
      <c r="B14" s="19"/>
      <c r="C14" s="20"/>
      <c r="D14" s="21"/>
      <c r="E14" s="22" t="str">
        <f aca="false">IF(F14="X",E13+C14+B14,"")</f>
        <v/>
      </c>
      <c r="F14" s="23"/>
      <c r="K14" s="26"/>
      <c r="L14" s="25" t="str">
        <f aca="false">IF(K14&lt;&gt;"",SUMIF($D$5:$D$55,K14,$C$5:$C$55)+SUMIF($D$5:$D$55,K14,$B$5:$B$55),"")</f>
        <v/>
      </c>
    </row>
    <row r="15" customFormat="false" ht="13.8" hidden="false" customHeight="false" outlineLevel="0" collapsed="false">
      <c r="A15" s="28"/>
      <c r="B15" s="19"/>
      <c r="C15" s="20"/>
      <c r="D15" s="21"/>
      <c r="E15" s="22" t="str">
        <f aca="false">IF(F15="X",E14+C15+B15,"")</f>
        <v/>
      </c>
      <c r="F15" s="23"/>
      <c r="K15" s="26"/>
      <c r="L15" s="25" t="str">
        <f aca="false">IF(K15&lt;&gt;"",SUMIF($D$5:$D$55,K15,$C$5:$C$55)+SUMIF($D$5:$D$55,K15,$B$5:$B$55),"")</f>
        <v/>
      </c>
    </row>
    <row r="16" customFormat="false" ht="13.8" hidden="false" customHeight="false" outlineLevel="0" collapsed="false">
      <c r="A16" s="28"/>
      <c r="B16" s="19"/>
      <c r="C16" s="31"/>
      <c r="D16" s="21"/>
      <c r="E16" s="22" t="str">
        <f aca="false">IF(F16="X",E15+C16+B16,"")</f>
        <v/>
      </c>
      <c r="F16" s="23"/>
      <c r="K16" s="26"/>
      <c r="L16" s="25" t="str">
        <f aca="false">IF(K16&lt;&gt;"",SUMIF($D$5:$D$55,K16,$C$5:$C$55)+SUMIF($D$5:$D$55,K16,$B$5:$B$55),"")</f>
        <v/>
      </c>
    </row>
    <row r="17" customFormat="false" ht="13.8" hidden="false" customHeight="false" outlineLevel="0" collapsed="false">
      <c r="A17" s="28"/>
      <c r="B17" s="19"/>
      <c r="C17" s="20"/>
      <c r="D17" s="21"/>
      <c r="E17" s="22" t="str">
        <f aca="false">IF(F17="X",E16+C17+B17,"")</f>
        <v/>
      </c>
      <c r="F17" s="23"/>
      <c r="K17" s="26"/>
      <c r="L17" s="25" t="str">
        <f aca="false">IF(K17&lt;&gt;"",SUMIF($D$5:$D$55,K17,$C$5:$C$55)+SUMIF($D$5:$D$55,K17,$B$5:$B$55),"")</f>
        <v/>
      </c>
    </row>
    <row r="18" customFormat="false" ht="13.8" hidden="false" customHeight="false" outlineLevel="0" collapsed="false">
      <c r="A18" s="28"/>
      <c r="B18" s="30"/>
      <c r="C18" s="31"/>
      <c r="D18" s="21"/>
      <c r="E18" s="22" t="str">
        <f aca="false">IF(F18="X",E17+C18+B18,"")</f>
        <v/>
      </c>
      <c r="F18" s="23"/>
      <c r="K18" s="26"/>
      <c r="L18" s="25" t="str">
        <f aca="false">IF(K18&lt;&gt;"",SUMIF($D$5:$D$55,K18,$C$5:$C$55)+SUMIF($D$5:$D$55,K18,$B$5:$B$55),"")</f>
        <v/>
      </c>
    </row>
    <row r="19" customFormat="false" ht="13.8" hidden="false" customHeight="false" outlineLevel="0" collapsed="false">
      <c r="A19" s="28"/>
      <c r="B19" s="19"/>
      <c r="C19" s="20"/>
      <c r="D19" s="21"/>
      <c r="E19" s="22" t="str">
        <f aca="false">IF(F19="X",E18+C19+B19,"")</f>
        <v/>
      </c>
      <c r="F19" s="23"/>
      <c r="K19" s="26"/>
      <c r="L19" s="25" t="str">
        <f aca="false">IF(K19&lt;&gt;"",SUMIF($D$5:$D$55,K19,$C$5:$C$55)+SUMIF($D$5:$D$55,K19,$B$5:$B$55),"")</f>
        <v/>
      </c>
    </row>
    <row r="20" customFormat="false" ht="13.8" hidden="false" customHeight="false" outlineLevel="0" collapsed="false">
      <c r="A20" s="28"/>
      <c r="B20" s="19"/>
      <c r="C20" s="20"/>
      <c r="D20" s="21"/>
      <c r="E20" s="22" t="str">
        <f aca="false">IF(F20="X",E19+C20+B20,"")</f>
        <v/>
      </c>
      <c r="F20" s="23"/>
      <c r="K20" s="26"/>
      <c r="L20" s="25" t="str">
        <f aca="false">IF(K20&lt;&gt;"",SUMIF($D$5:$D$55,K20,$C$5:$C$55)+SUMIF($D$5:$D$55,K20,$B$5:$B$55),"")</f>
        <v/>
      </c>
    </row>
    <row r="21" customFormat="false" ht="13.8" hidden="false" customHeight="false" outlineLevel="0" collapsed="false">
      <c r="A21" s="28"/>
      <c r="B21" s="19"/>
      <c r="C21" s="20"/>
      <c r="D21" s="21"/>
      <c r="E21" s="22" t="str">
        <f aca="false">IF(F21="X",E20+C21+B21,"")</f>
        <v/>
      </c>
      <c r="F21" s="23"/>
      <c r="K21" s="26"/>
      <c r="L21" s="25" t="str">
        <f aca="false">IF(K21&lt;&gt;"",SUMIF($D$5:$D$55,K21,$C$5:$C$55)+SUMIF($D$5:$D$55,K21,$B$5:$B$55),"")</f>
        <v/>
      </c>
    </row>
    <row r="22" customFormat="false" ht="13.8" hidden="false" customHeight="false" outlineLevel="0" collapsed="false">
      <c r="A22" s="28"/>
      <c r="B22" s="19"/>
      <c r="C22" s="20"/>
      <c r="D22" s="21"/>
      <c r="E22" s="22" t="str">
        <f aca="false">IF(F22="X",E21+C22+B22,"")</f>
        <v/>
      </c>
      <c r="F22" s="23"/>
      <c r="K22" s="26"/>
      <c r="L22" s="25" t="str">
        <f aca="false">IF(K22&lt;&gt;"",SUMIF($D$5:$D$55,K22,$C$5:$C$55)+SUMIF($D$5:$D$55,K22,$B$5:$B$55),"")</f>
        <v/>
      </c>
    </row>
    <row r="23" customFormat="false" ht="13.8" hidden="false" customHeight="false" outlineLevel="0" collapsed="false">
      <c r="A23" s="28"/>
      <c r="B23" s="19"/>
      <c r="C23" s="20"/>
      <c r="D23" s="21"/>
      <c r="E23" s="22" t="str">
        <f aca="false">IF(F23="X",E22+C23+B23,"")</f>
        <v/>
      </c>
      <c r="F23" s="23"/>
      <c r="K23" s="26"/>
      <c r="L23" s="25" t="str">
        <f aca="false">IF(K23&lt;&gt;"",SUMIF($D$5:$D$55,K23,$C$5:$C$55)+SUMIF($D$5:$D$55,K23,$B$5:$B$55),"")</f>
        <v/>
      </c>
    </row>
    <row r="24" customFormat="false" ht="13.8" hidden="false" customHeight="false" outlineLevel="0" collapsed="false">
      <c r="A24" s="28"/>
      <c r="B24" s="19"/>
      <c r="C24" s="20"/>
      <c r="D24" s="21"/>
      <c r="E24" s="22" t="str">
        <f aca="false">IF(F24="X",E23+C24+B24,"")</f>
        <v/>
      </c>
      <c r="F24" s="23"/>
      <c r="K24" s="26"/>
      <c r="L24" s="25" t="str">
        <f aca="false">IF(K24&lt;&gt;"",SUMIF($D$5:$D$55,K24,$C$5:$C$55)+SUMIF($D$5:$D$55,K24,$B$5:$B$55),"")</f>
        <v/>
      </c>
    </row>
    <row r="25" customFormat="false" ht="13.8" hidden="false" customHeight="false" outlineLevel="0" collapsed="false">
      <c r="A25" s="28"/>
      <c r="B25" s="19"/>
      <c r="C25" s="20"/>
      <c r="D25" s="21"/>
      <c r="E25" s="22" t="str">
        <f aca="false">IF(F25="X",E24+C25+B25,"")</f>
        <v/>
      </c>
      <c r="F25" s="23"/>
      <c r="K25" s="26"/>
      <c r="L25" s="29"/>
    </row>
    <row r="26" customFormat="false" ht="13.8" hidden="false" customHeight="false" outlineLevel="0" collapsed="false">
      <c r="A26" s="28"/>
      <c r="B26" s="19"/>
      <c r="C26" s="20"/>
      <c r="D26" s="21"/>
      <c r="E26" s="22" t="str">
        <f aca="false">IF(F26="X",E25+C26+B26,"")</f>
        <v/>
      </c>
      <c r="F26" s="23"/>
      <c r="K26" s="26"/>
      <c r="L26" s="29"/>
    </row>
    <row r="27" customFormat="false" ht="13.8" hidden="false" customHeight="false" outlineLevel="0" collapsed="false">
      <c r="A27" s="28"/>
      <c r="B27" s="19"/>
      <c r="C27" s="20"/>
      <c r="D27" s="21"/>
      <c r="E27" s="22" t="str">
        <f aca="false">IF(F27="X",E26+C27+B27,"")</f>
        <v/>
      </c>
      <c r="F27" s="23"/>
      <c r="K27" s="26"/>
      <c r="L27" s="29"/>
    </row>
    <row r="28" customFormat="false" ht="13.8" hidden="false" customHeight="false" outlineLevel="0" collapsed="false">
      <c r="A28" s="28"/>
      <c r="B28" s="19"/>
      <c r="C28" s="20"/>
      <c r="D28" s="21"/>
      <c r="E28" s="22" t="str">
        <f aca="false">IF(F28="X",E27+C28+B28,"")</f>
        <v/>
      </c>
      <c r="F28" s="23"/>
      <c r="K28" s="26"/>
      <c r="L28" s="29"/>
    </row>
    <row r="29" customFormat="false" ht="13.8" hidden="false" customHeight="false" outlineLevel="0" collapsed="false">
      <c r="A29" s="28"/>
      <c r="B29" s="19"/>
      <c r="C29" s="20"/>
      <c r="D29" s="21"/>
      <c r="E29" s="22" t="str">
        <f aca="false">IF(F29="X",E28+C29+B29,"")</f>
        <v/>
      </c>
      <c r="F29" s="23"/>
      <c r="K29" s="26"/>
      <c r="L29" s="29"/>
    </row>
    <row r="30" customFormat="false" ht="13.8" hidden="false" customHeight="false" outlineLevel="0" collapsed="false">
      <c r="A30" s="28"/>
      <c r="B30" s="19"/>
      <c r="C30" s="20"/>
      <c r="D30" s="21"/>
      <c r="E30" s="22" t="str">
        <f aca="false">IF(F30="X",E29+C30+B30,"")</f>
        <v/>
      </c>
      <c r="F30" s="23"/>
      <c r="K30" s="26"/>
      <c r="L30" s="29"/>
    </row>
    <row r="31" customFormat="false" ht="13.8" hidden="false" customHeight="false" outlineLevel="0" collapsed="false">
      <c r="A31" s="28"/>
      <c r="B31" s="19"/>
      <c r="C31" s="20"/>
      <c r="D31" s="21"/>
      <c r="E31" s="22" t="str">
        <f aca="false">IF(F31="X",E30+C31+B31,"")</f>
        <v/>
      </c>
      <c r="F31" s="23"/>
      <c r="K31" s="26"/>
      <c r="L31" s="29"/>
    </row>
    <row r="32" customFormat="false" ht="13.8" hidden="false" customHeight="false" outlineLevel="0" collapsed="false">
      <c r="A32" s="28"/>
      <c r="B32" s="19"/>
      <c r="C32" s="20"/>
      <c r="D32" s="21"/>
      <c r="E32" s="22" t="str">
        <f aca="false">IF(F32="X",E31+C32+B32,"")</f>
        <v/>
      </c>
      <c r="F32" s="23"/>
      <c r="K32" s="26"/>
      <c r="L32" s="29"/>
    </row>
    <row r="33" customFormat="false" ht="13.8" hidden="false" customHeight="false" outlineLevel="0" collapsed="false">
      <c r="A33" s="28"/>
      <c r="B33" s="19"/>
      <c r="C33" s="20"/>
      <c r="D33" s="21"/>
      <c r="E33" s="22" t="str">
        <f aca="false">IF(F33="X",E32+C33+B33,"")</f>
        <v/>
      </c>
      <c r="F33" s="23"/>
      <c r="K33" s="26"/>
      <c r="L33" s="29"/>
    </row>
    <row r="34" customFormat="false" ht="13.8" hidden="false" customHeight="false" outlineLevel="0" collapsed="false">
      <c r="A34" s="28"/>
      <c r="B34" s="19"/>
      <c r="C34" s="20"/>
      <c r="D34" s="21"/>
      <c r="E34" s="22" t="str">
        <f aca="false">IF(F34="X",E33+C34+B34,"")</f>
        <v/>
      </c>
      <c r="F34" s="23"/>
      <c r="K34" s="26"/>
      <c r="L34" s="29"/>
    </row>
    <row r="35" customFormat="false" ht="13.8" hidden="false" customHeight="false" outlineLevel="0" collapsed="false">
      <c r="A35" s="28"/>
      <c r="B35" s="19"/>
      <c r="C35" s="20"/>
      <c r="D35" s="21"/>
      <c r="E35" s="22" t="str">
        <f aca="false">IF(F35="X",E34+C35+B35,"")</f>
        <v/>
      </c>
      <c r="F35" s="23"/>
      <c r="K35" s="26"/>
      <c r="L35" s="29" t="str">
        <f aca="false">IF(Tableau732332[[#This Row],[PRATIQUE]]&lt;&gt;"",SUMIF(Tableau3210[Raison],K35,Tableau3210[Débit])+SUMIF(Tableau3210[Raison],K35,Tableau3210[Crédit]),"")</f>
        <v/>
      </c>
    </row>
    <row r="36" customFormat="false" ht="13.8" hidden="false" customHeight="false" outlineLevel="0" collapsed="false">
      <c r="A36" s="28"/>
      <c r="B36" s="19"/>
      <c r="C36" s="20"/>
      <c r="D36" s="21"/>
      <c r="E36" s="22" t="str">
        <f aca="false">IF(F36="X",E35+C36+B36,"")</f>
        <v/>
      </c>
      <c r="F36" s="23"/>
      <c r="K36" s="26"/>
      <c r="L36" s="29" t="str">
        <f aca="false">IF(Tableau732332[[#This Row],[PRATIQUE]]&lt;&gt;"",SUMIF(Tableau3210[Raison],K36,Tableau3210[Débit])+SUMIF(Tableau3210[Raison],K36,Tableau3210[Crédit]),"")</f>
        <v/>
      </c>
    </row>
    <row r="37" customFormat="false" ht="13.8" hidden="false" customHeight="false" outlineLevel="0" collapsed="false">
      <c r="A37" s="28"/>
      <c r="B37" s="19"/>
      <c r="C37" s="20"/>
      <c r="D37" s="21"/>
      <c r="E37" s="22" t="str">
        <f aca="false">IF(F37="X",E36+C37+B37,"")</f>
        <v/>
      </c>
      <c r="F37" s="23"/>
      <c r="K37" s="65"/>
      <c r="L37" s="66"/>
    </row>
    <row r="38" customFormat="false" ht="13.8" hidden="false" customHeight="false" outlineLevel="0" collapsed="false">
      <c r="A38" s="18"/>
      <c r="B38" s="19"/>
      <c r="C38" s="20"/>
      <c r="D38" s="21"/>
      <c r="E38" s="22" t="str">
        <f aca="false">IF(F38="X",E37+C38+B38,"")</f>
        <v/>
      </c>
      <c r="F38" s="23"/>
      <c r="K38" s="65"/>
      <c r="L38" s="66"/>
    </row>
    <row r="39" customFormat="false" ht="13.8" hidden="false" customHeight="false" outlineLevel="0" collapsed="false">
      <c r="A39" s="28"/>
      <c r="B39" s="19"/>
      <c r="C39" s="20"/>
      <c r="D39" s="21"/>
      <c r="E39" s="22" t="str">
        <f aca="false">IF(F39="X",E38+C39+B39,"")</f>
        <v/>
      </c>
      <c r="F39" s="23"/>
      <c r="K39" s="41"/>
      <c r="L39" s="42"/>
    </row>
    <row r="40" customFormat="false" ht="13.8" hidden="false" customHeight="false" outlineLevel="0" collapsed="false">
      <c r="A40" s="28"/>
      <c r="B40" s="19"/>
      <c r="C40" s="20"/>
      <c r="D40" s="21"/>
      <c r="E40" s="22" t="str">
        <f aca="false">IF(F40="X",#REF!+C40+B40,"")</f>
        <v/>
      </c>
      <c r="F40" s="23"/>
      <c r="G40" s="38"/>
      <c r="K40" s="32"/>
      <c r="L40" s="32"/>
    </row>
    <row r="41" customFormat="false" ht="13.8" hidden="false" customHeight="false" outlineLevel="0" collapsed="false">
      <c r="A41" s="28"/>
      <c r="B41" s="19"/>
      <c r="C41" s="20"/>
      <c r="D41" s="21"/>
      <c r="E41" s="22" t="str">
        <f aca="false">IF(F41="X",E40+C41+B41,"")</f>
        <v/>
      </c>
      <c r="F41" s="23"/>
      <c r="K41" s="34"/>
      <c r="L41" s="29"/>
    </row>
    <row r="42" customFormat="false" ht="13.8" hidden="false" customHeight="false" outlineLevel="0" collapsed="false">
      <c r="A42" s="28"/>
      <c r="B42" s="19"/>
      <c r="C42" s="20"/>
      <c r="D42" s="21"/>
      <c r="E42" s="22" t="str">
        <f aca="false">IF(F42="X",E41+C42+B42,"")</f>
        <v/>
      </c>
      <c r="F42" s="23"/>
      <c r="K42" s="45" t="s">
        <v>46</v>
      </c>
      <c r="L42" s="45"/>
    </row>
    <row r="43" customFormat="false" ht="13.8" hidden="false" customHeight="false" outlineLevel="0" collapsed="false">
      <c r="A43" s="28"/>
      <c r="B43" s="19"/>
      <c r="C43" s="20"/>
      <c r="D43" s="21"/>
      <c r="E43" s="22" t="str">
        <f aca="false">IF(F43="X",E42+C43+B43,"")</f>
        <v/>
      </c>
      <c r="F43" s="23"/>
      <c r="K43" s="72" t="s">
        <v>42</v>
      </c>
      <c r="L43" s="73" t="n">
        <f aca="false">I1+L42</f>
        <v>2200</v>
      </c>
    </row>
    <row r="44" customFormat="false" ht="13.8" hidden="false" customHeight="false" outlineLevel="0" collapsed="false">
      <c r="A44" s="28"/>
      <c r="B44" s="19"/>
      <c r="C44" s="20"/>
      <c r="D44" s="21"/>
      <c r="E44" s="22" t="str">
        <f aca="false">IF(F44="X",E43+C44+B44,"")</f>
        <v/>
      </c>
      <c r="F44" s="23"/>
      <c r="K44" s="41"/>
      <c r="L44" s="42"/>
    </row>
    <row r="45" customFormat="false" ht="13.8" hidden="false" customHeight="false" outlineLevel="0" collapsed="false">
      <c r="A45" s="28"/>
      <c r="B45" s="19"/>
      <c r="C45" s="20"/>
      <c r="D45" s="21"/>
      <c r="E45" s="22" t="str">
        <f aca="false">IF(F45="X",E44+C45+B45,"")</f>
        <v/>
      </c>
      <c r="F45" s="23"/>
    </row>
    <row r="46" customFormat="false" ht="13.8" hidden="false" customHeight="false" outlineLevel="0" collapsed="false">
      <c r="A46" s="34"/>
      <c r="B46" s="34"/>
      <c r="C46" s="34"/>
      <c r="D46" s="34"/>
      <c r="E46" s="34"/>
      <c r="F46" s="34"/>
    </row>
    <row r="47" customFormat="false" ht="13.8" hidden="false" customHeight="false" outlineLevel="0" collapsed="false">
      <c r="A47" s="34"/>
      <c r="B47" s="34"/>
      <c r="C47" s="34"/>
      <c r="D47" s="34"/>
      <c r="E47" s="34"/>
      <c r="F47" s="34"/>
    </row>
    <row r="48" customFormat="false" ht="13.8" hidden="false" customHeight="false" outlineLevel="0" collapsed="false">
      <c r="A48" s="34"/>
      <c r="B48" s="34"/>
      <c r="C48" s="34"/>
      <c r="D48" s="34"/>
      <c r="E48" s="34"/>
      <c r="F48" s="34"/>
    </row>
    <row r="57" customFormat="false" ht="13.8" hidden="false" customHeight="false" outlineLevel="0" collapsed="false">
      <c r="J57" s="36"/>
    </row>
    <row r="1048575" customFormat="false" ht="12.8" hidden="false" customHeight="false" outlineLevel="0" collapsed="false"/>
    <row r="1048576" customFormat="false" ht="12.8" hidden="false" customHeight="false" outlineLevel="0" collapsed="false"/>
  </sheetData>
  <mergeCells count="1">
    <mergeCell ref="K42:L42"/>
  </mergeCells>
  <conditionalFormatting sqref="L41:L42">
    <cfRule type="cellIs" priority="2" operator="greaterThan" aboveAverage="0" equalAverage="0" bottom="0" percent="0" rank="0" text="" dxfId="633">
      <formula>0</formula>
    </cfRule>
    <cfRule type="cellIs" priority="3" operator="lessThan" aboveAverage="0" equalAverage="0" bottom="0" percent="0" rank="0" text="" dxfId="634">
      <formula>0</formula>
    </cfRule>
  </conditionalFormatting>
  <conditionalFormatting sqref="K36">
    <cfRule type="expression" priority="4" aboveAverage="0" equalAverage="0" bottom="0" percent="0" rank="0" text="" dxfId="635">
      <formula>L36&gt;0</formula>
    </cfRule>
    <cfRule type="expression" priority="5" aboveAverage="0" equalAverage="0" bottom="0" percent="0" rank="0" text="" dxfId="636">
      <formula>L36&lt;0</formula>
    </cfRule>
  </conditionalFormatting>
  <conditionalFormatting sqref="K35">
    <cfRule type="expression" priority="6" aboveAverage="0" equalAverage="0" bottom="0" percent="0" rank="0" text="" dxfId="637">
      <formula>L35&gt;0</formula>
    </cfRule>
    <cfRule type="expression" priority="7" aboveAverage="0" equalAverage="0" bottom="0" percent="0" rank="0" text="" dxfId="638">
      <formula>L35&lt;0</formula>
    </cfRule>
  </conditionalFormatting>
  <conditionalFormatting sqref="K34">
    <cfRule type="expression" priority="8" aboveAverage="0" equalAverage="0" bottom="0" percent="0" rank="0" text="" dxfId="639">
      <formula>L34&gt;0</formula>
    </cfRule>
    <cfRule type="expression" priority="9" aboveAverage="0" equalAverage="0" bottom="0" percent="0" rank="0" text="" dxfId="640">
      <formula>L34&lt;0</formula>
    </cfRule>
  </conditionalFormatting>
  <conditionalFormatting sqref="K33">
    <cfRule type="expression" priority="10" aboveAverage="0" equalAverage="0" bottom="0" percent="0" rank="0" text="" dxfId="641">
      <formula>L33&gt;0</formula>
    </cfRule>
    <cfRule type="expression" priority="11" aboveAverage="0" equalAverage="0" bottom="0" percent="0" rank="0" text="" dxfId="642">
      <formula>L33&lt;0</formula>
    </cfRule>
  </conditionalFormatting>
  <conditionalFormatting sqref="K32">
    <cfRule type="expression" priority="12" aboveAverage="0" equalAverage="0" bottom="0" percent="0" rank="0" text="" dxfId="643">
      <formula>L32&gt;0</formula>
    </cfRule>
    <cfRule type="expression" priority="13" aboveAverage="0" equalAverage="0" bottom="0" percent="0" rank="0" text="" dxfId="644">
      <formula>L32&lt;0</formula>
    </cfRule>
  </conditionalFormatting>
  <conditionalFormatting sqref="K31">
    <cfRule type="expression" priority="14" aboveAverage="0" equalAverage="0" bottom="0" percent="0" rank="0" text="" dxfId="645">
      <formula>L31&gt;0</formula>
    </cfRule>
    <cfRule type="expression" priority="15" aboveAverage="0" equalAverage="0" bottom="0" percent="0" rank="0" text="" dxfId="646">
      <formula>L31&lt;0</formula>
    </cfRule>
  </conditionalFormatting>
  <conditionalFormatting sqref="K30">
    <cfRule type="expression" priority="16" aboveAverage="0" equalAverage="0" bottom="0" percent="0" rank="0" text="" dxfId="647">
      <formula>L30&gt;0</formula>
    </cfRule>
    <cfRule type="expression" priority="17" aboveAverage="0" equalAverage="0" bottom="0" percent="0" rank="0" text="" dxfId="648">
      <formula>L30&lt;0</formula>
    </cfRule>
  </conditionalFormatting>
  <conditionalFormatting sqref="K29">
    <cfRule type="expression" priority="18" aboveAverage="0" equalAverage="0" bottom="0" percent="0" rank="0" text="" dxfId="649">
      <formula>L29&gt;0</formula>
    </cfRule>
    <cfRule type="expression" priority="19" aboveAverage="0" equalAverage="0" bottom="0" percent="0" rank="0" text="" dxfId="650">
      <formula>L29&lt;0</formula>
    </cfRule>
  </conditionalFormatting>
  <conditionalFormatting sqref="K28">
    <cfRule type="expression" priority="20" aboveAverage="0" equalAverage="0" bottom="0" percent="0" rank="0" text="" dxfId="651">
      <formula>L28&gt;0</formula>
    </cfRule>
    <cfRule type="expression" priority="21" aboveAverage="0" equalAverage="0" bottom="0" percent="0" rank="0" text="" dxfId="652">
      <formula>L28&lt;0</formula>
    </cfRule>
  </conditionalFormatting>
  <conditionalFormatting sqref="K27">
    <cfRule type="expression" priority="22" aboveAverage="0" equalAverage="0" bottom="0" percent="0" rank="0" text="" dxfId="653">
      <formula>L27&gt;0</formula>
    </cfRule>
    <cfRule type="expression" priority="23" aboveAverage="0" equalAverage="0" bottom="0" percent="0" rank="0" text="" dxfId="654">
      <formula>L27&lt;0</formula>
    </cfRule>
  </conditionalFormatting>
  <conditionalFormatting sqref="K26">
    <cfRule type="expression" priority="24" aboveAverage="0" equalAverage="0" bottom="0" percent="0" rank="0" text="" dxfId="655">
      <formula>L26&gt;0</formula>
    </cfRule>
    <cfRule type="expression" priority="25" aboveAverage="0" equalAverage="0" bottom="0" percent="0" rank="0" text="" dxfId="656">
      <formula>L26&lt;0</formula>
    </cfRule>
  </conditionalFormatting>
  <conditionalFormatting sqref="K25">
    <cfRule type="expression" priority="26" aboveAverage="0" equalAverage="0" bottom="0" percent="0" rank="0" text="" dxfId="657">
      <formula>L25&gt;0</formula>
    </cfRule>
    <cfRule type="expression" priority="27" aboveAverage="0" equalAverage="0" bottom="0" percent="0" rank="0" text="" dxfId="658">
      <formula>L25&lt;0</formula>
    </cfRule>
  </conditionalFormatting>
  <conditionalFormatting sqref="K24">
    <cfRule type="expression" priority="28" aboveAverage="0" equalAverage="0" bottom="0" percent="0" rank="0" text="" dxfId="659">
      <formula>L24&gt;0</formula>
    </cfRule>
    <cfRule type="expression" priority="29" aboveAverage="0" equalAverage="0" bottom="0" percent="0" rank="0" text="" dxfId="660">
      <formula>L24&lt;0</formula>
    </cfRule>
  </conditionalFormatting>
  <conditionalFormatting sqref="K23">
    <cfRule type="expression" priority="30" aboveAverage="0" equalAverage="0" bottom="0" percent="0" rank="0" text="" dxfId="661">
      <formula>L23&gt;0</formula>
    </cfRule>
    <cfRule type="expression" priority="31" aboveAverage="0" equalAverage="0" bottom="0" percent="0" rank="0" text="" dxfId="662">
      <formula>L23&lt;0</formula>
    </cfRule>
  </conditionalFormatting>
  <conditionalFormatting sqref="K22">
    <cfRule type="expression" priority="32" aboveAverage="0" equalAverage="0" bottom="0" percent="0" rank="0" text="" dxfId="663">
      <formula>L22&gt;0</formula>
    </cfRule>
    <cfRule type="expression" priority="33" aboveAverage="0" equalAverage="0" bottom="0" percent="0" rank="0" text="" dxfId="664">
      <formula>L22&lt;0</formula>
    </cfRule>
  </conditionalFormatting>
  <conditionalFormatting sqref="K21">
    <cfRule type="expression" priority="34" aboveAverage="0" equalAverage="0" bottom="0" percent="0" rank="0" text="" dxfId="665">
      <formula>L21&gt;0</formula>
    </cfRule>
    <cfRule type="expression" priority="35" aboveAverage="0" equalAverage="0" bottom="0" percent="0" rank="0" text="" dxfId="666">
      <formula>L21&lt;0</formula>
    </cfRule>
  </conditionalFormatting>
  <conditionalFormatting sqref="K20">
    <cfRule type="expression" priority="36" aboveAverage="0" equalAverage="0" bottom="0" percent="0" rank="0" text="" dxfId="667">
      <formula>L20&gt;0</formula>
    </cfRule>
    <cfRule type="expression" priority="37" aboveAverage="0" equalAverage="0" bottom="0" percent="0" rank="0" text="" dxfId="668">
      <formula>L20&lt;0</formula>
    </cfRule>
  </conditionalFormatting>
  <conditionalFormatting sqref="K19">
    <cfRule type="expression" priority="38" aboveAverage="0" equalAverage="0" bottom="0" percent="0" rank="0" text="" dxfId="669">
      <formula>L19&gt;0</formula>
    </cfRule>
    <cfRule type="expression" priority="39" aboveAverage="0" equalAverage="0" bottom="0" percent="0" rank="0" text="" dxfId="670">
      <formula>L19&lt;0</formula>
    </cfRule>
  </conditionalFormatting>
  <conditionalFormatting sqref="K17:K18">
    <cfRule type="expression" priority="40" aboveAverage="0" equalAverage="0" bottom="0" percent="0" rank="0" text="" dxfId="671">
      <formula>L17&gt;0</formula>
    </cfRule>
    <cfRule type="expression" priority="41" aboveAverage="0" equalAverage="0" bottom="0" percent="0" rank="0" text="" dxfId="672">
      <formula>L17&lt;0</formula>
    </cfRule>
  </conditionalFormatting>
  <conditionalFormatting sqref="K16">
    <cfRule type="expression" priority="42" aboveAverage="0" equalAverage="0" bottom="0" percent="0" rank="0" text="" dxfId="673">
      <formula>L16&gt;0</formula>
    </cfRule>
    <cfRule type="expression" priority="43" aboveAverage="0" equalAverage="0" bottom="0" percent="0" rank="0" text="" dxfId="674">
      <formula>L16&lt;0</formula>
    </cfRule>
  </conditionalFormatting>
  <conditionalFormatting sqref="K15">
    <cfRule type="expression" priority="44" aboveAverage="0" equalAverage="0" bottom="0" percent="0" rank="0" text="" dxfId="675">
      <formula>L15&gt;0</formula>
    </cfRule>
    <cfRule type="expression" priority="45" aboveAverage="0" equalAverage="0" bottom="0" percent="0" rank="0" text="" dxfId="676">
      <formula>L15&lt;0</formula>
    </cfRule>
  </conditionalFormatting>
  <conditionalFormatting sqref="K14">
    <cfRule type="expression" priority="46" aboveAverage="0" equalAverage="0" bottom="0" percent="0" rank="0" text="" dxfId="677">
      <formula>L14&gt;0</formula>
    </cfRule>
    <cfRule type="expression" priority="47" aboveAverage="0" equalAverage="0" bottom="0" percent="0" rank="0" text="" dxfId="678">
      <formula>L14&lt;0</formula>
    </cfRule>
  </conditionalFormatting>
  <conditionalFormatting sqref="K13">
    <cfRule type="expression" priority="48" aboveAverage="0" equalAverage="0" bottom="0" percent="0" rank="0" text="" dxfId="679">
      <formula>L13&gt;0</formula>
    </cfRule>
    <cfRule type="expression" priority="49" aboveAverage="0" equalAverage="0" bottom="0" percent="0" rank="0" text="" dxfId="680">
      <formula>L13&lt;0</formula>
    </cfRule>
  </conditionalFormatting>
  <conditionalFormatting sqref="K12">
    <cfRule type="expression" priority="50" aboveAverage="0" equalAverage="0" bottom="0" percent="0" rank="0" text="" dxfId="681">
      <formula>L12&gt;0</formula>
    </cfRule>
    <cfRule type="expression" priority="51" aboveAverage="0" equalAverage="0" bottom="0" percent="0" rank="0" text="" dxfId="682">
      <formula>L12&lt;0</formula>
    </cfRule>
  </conditionalFormatting>
  <conditionalFormatting sqref="K11">
    <cfRule type="expression" priority="52" aboveAverage="0" equalAverage="0" bottom="0" percent="0" rank="0" text="" dxfId="683">
      <formula>L11&gt;0</formula>
    </cfRule>
    <cfRule type="expression" priority="53" aboveAverage="0" equalAverage="0" bottom="0" percent="0" rank="0" text="" dxfId="684">
      <formula>L11&lt;0</formula>
    </cfRule>
  </conditionalFormatting>
  <conditionalFormatting sqref="K10">
    <cfRule type="expression" priority="54" aboveAverage="0" equalAverage="0" bottom="0" percent="0" rank="0" text="" dxfId="685">
      <formula>L10&gt;0</formula>
    </cfRule>
    <cfRule type="expression" priority="55" aboveAverage="0" equalAverage="0" bottom="0" percent="0" rank="0" text="" dxfId="686">
      <formula>L10&lt;0</formula>
    </cfRule>
  </conditionalFormatting>
  <conditionalFormatting sqref="K9">
    <cfRule type="expression" priority="56" aboveAverage="0" equalAverage="0" bottom="0" percent="0" rank="0" text="" dxfId="687">
      <formula>L9&gt;0</formula>
    </cfRule>
    <cfRule type="expression" priority="57" aboveAverage="0" equalAverage="0" bottom="0" percent="0" rank="0" text="" dxfId="688">
      <formula>L9&lt;0</formula>
    </cfRule>
  </conditionalFormatting>
  <conditionalFormatting sqref="K8">
    <cfRule type="expression" priority="58" aboveAverage="0" equalAverage="0" bottom="0" percent="0" rank="0" text="" dxfId="689">
      <formula>L8&gt;0</formula>
    </cfRule>
    <cfRule type="expression" priority="59" aboveAverage="0" equalAverage="0" bottom="0" percent="0" rank="0" text="" dxfId="690">
      <formula>L8&lt;0</formula>
    </cfRule>
  </conditionalFormatting>
  <conditionalFormatting sqref="K7">
    <cfRule type="expression" priority="60" aboveAverage="0" equalAverage="0" bottom="0" percent="0" rank="0" text="" dxfId="691">
      <formula>L7&gt;0</formula>
    </cfRule>
    <cfRule type="expression" priority="61" aboveAverage="0" equalAverage="0" bottom="0" percent="0" rank="0" text="" dxfId="692">
      <formula>L7&lt;0</formula>
    </cfRule>
  </conditionalFormatting>
  <conditionalFormatting sqref="K6">
    <cfRule type="expression" priority="62" aboveAverage="0" equalAverage="0" bottom="0" percent="0" rank="0" text="" dxfId="693">
      <formula>L6&gt;0</formula>
    </cfRule>
    <cfRule type="expression" priority="63" aboveAverage="0" equalAverage="0" bottom="0" percent="0" rank="0" text="" dxfId="694">
      <formula>L6&lt;0</formula>
    </cfRule>
  </conditionalFormatting>
  <conditionalFormatting sqref="K5">
    <cfRule type="expression" priority="64" aboveAverage="0" equalAverage="0" bottom="0" percent="0" rank="0" text="" dxfId="695">
      <formula>L5&gt;0</formula>
    </cfRule>
    <cfRule type="expression" priority="65" aboveAverage="0" equalAverage="0" bottom="0" percent="0" rank="0" text="" dxfId="696">
      <formula>L5&lt;0</formula>
    </cfRule>
  </conditionalFormatting>
  <conditionalFormatting sqref="L30">
    <cfRule type="cellIs" priority="66" operator="lessThan" aboveAverage="0" equalAverage="0" bottom="0" percent="0" rank="0" text="" dxfId="697">
      <formula>0</formula>
    </cfRule>
    <cfRule type="cellIs" priority="67" operator="greaterThan" aboveAverage="0" equalAverage="0" bottom="0" percent="0" rank="0" text="" dxfId="698">
      <formula>0</formula>
    </cfRule>
  </conditionalFormatting>
  <conditionalFormatting sqref="L29">
    <cfRule type="cellIs" priority="68" operator="lessThan" aboveAverage="0" equalAverage="0" bottom="0" percent="0" rank="0" text="" dxfId="699">
      <formula>0</formula>
    </cfRule>
    <cfRule type="cellIs" priority="69" operator="greaterThan" aboveAverage="0" equalAverage="0" bottom="0" percent="0" rank="0" text="" dxfId="700">
      <formula>0</formula>
    </cfRule>
  </conditionalFormatting>
  <conditionalFormatting sqref="L28">
    <cfRule type="cellIs" priority="70" operator="lessThan" aboveAverage="0" equalAverage="0" bottom="0" percent="0" rank="0" text="" dxfId="701">
      <formula>0</formula>
    </cfRule>
    <cfRule type="cellIs" priority="71" operator="greaterThan" aboveAverage="0" equalAverage="0" bottom="0" percent="0" rank="0" text="" dxfId="702">
      <formula>0</formula>
    </cfRule>
  </conditionalFormatting>
  <conditionalFormatting sqref="L27">
    <cfRule type="cellIs" priority="72" operator="lessThan" aboveAverage="0" equalAverage="0" bottom="0" percent="0" rank="0" text="" dxfId="703">
      <formula>0</formula>
    </cfRule>
    <cfRule type="cellIs" priority="73" operator="greaterThan" aboveAverage="0" equalAverage="0" bottom="0" percent="0" rank="0" text="" dxfId="704">
      <formula>0</formula>
    </cfRule>
  </conditionalFormatting>
  <conditionalFormatting sqref="L26">
    <cfRule type="cellIs" priority="74" operator="lessThan" aboveAverage="0" equalAverage="0" bottom="0" percent="0" rank="0" text="" dxfId="705">
      <formula>0</formula>
    </cfRule>
    <cfRule type="cellIs" priority="75" operator="greaterThan" aboveAverage="0" equalAverage="0" bottom="0" percent="0" rank="0" text="" dxfId="706">
      <formula>0</formula>
    </cfRule>
  </conditionalFormatting>
  <conditionalFormatting sqref="L25">
    <cfRule type="cellIs" priority="76" operator="lessThan" aboveAverage="0" equalAverage="0" bottom="0" percent="0" rank="0" text="" dxfId="707">
      <formula>0</formula>
    </cfRule>
    <cfRule type="cellIs" priority="77" operator="greaterThan" aboveAverage="0" equalAverage="0" bottom="0" percent="0" rank="0" text="" dxfId="708">
      <formula>0</formula>
    </cfRule>
  </conditionalFormatting>
  <conditionalFormatting sqref="L6:L36 L41:L44">
    <cfRule type="cellIs" priority="78" operator="greaterThan" aboveAverage="0" equalAverage="0" bottom="0" percent="0" rank="0" text="" dxfId="709">
      <formula>0</formula>
    </cfRule>
    <cfRule type="cellIs" priority="79" operator="lessThan" aboveAverage="0" equalAverage="0" bottom="0" percent="0" rank="0" text="" dxfId="710">
      <formula>0</formula>
    </cfRule>
  </conditionalFormatting>
  <conditionalFormatting sqref="L43">
    <cfRule type="cellIs" priority="80" operator="greaterThan" aboveAverage="0" equalAverage="0" bottom="0" percent="0" rank="0" text="" dxfId="711">
      <formula>0</formula>
    </cfRule>
    <cfRule type="expression" priority="81" aboveAverage="0" equalAverage="0" bottom="0" percent="0" rank="0" text="" dxfId="712">
      <formula>$L$5:$L$44&lt;0</formula>
    </cfRule>
  </conditionalFormatting>
  <conditionalFormatting sqref="L24">
    <cfRule type="cellIs" priority="82" operator="lessThan" aboveAverage="0" equalAverage="0" bottom="0" percent="0" rank="0" text="" dxfId="95">
      <formula>0</formula>
    </cfRule>
    <cfRule type="cellIs" priority="83" operator="greaterThan" aboveAverage="0" equalAverage="0" bottom="0" percent="0" rank="0" text="" dxfId="96">
      <formula>0</formula>
    </cfRule>
  </conditionalFormatting>
  <conditionalFormatting sqref="L23">
    <cfRule type="cellIs" priority="84" operator="lessThan" aboveAverage="0" equalAverage="0" bottom="0" percent="0" rank="0" text="" dxfId="97">
      <formula>0</formula>
    </cfRule>
    <cfRule type="cellIs" priority="85" operator="greaterThan" aboveAverage="0" equalAverage="0" bottom="0" percent="0" rank="0" text="" dxfId="98">
      <formula>0</formula>
    </cfRule>
  </conditionalFormatting>
  <conditionalFormatting sqref="L22">
    <cfRule type="cellIs" priority="86" operator="lessThan" aboveAverage="0" equalAverage="0" bottom="0" percent="0" rank="0" text="" dxfId="99">
      <formula>0</formula>
    </cfRule>
    <cfRule type="cellIs" priority="87" operator="greaterThan" aboveAverage="0" equalAverage="0" bottom="0" percent="0" rank="0" text="" dxfId="100">
      <formula>0</formula>
    </cfRule>
  </conditionalFormatting>
  <conditionalFormatting sqref="L21">
    <cfRule type="cellIs" priority="88" operator="lessThan" aboveAverage="0" equalAverage="0" bottom="0" percent="0" rank="0" text="" dxfId="101">
      <formula>0</formula>
    </cfRule>
    <cfRule type="cellIs" priority="89" operator="greaterThan" aboveAverage="0" equalAverage="0" bottom="0" percent="0" rank="0" text="" dxfId="102">
      <formula>0</formula>
    </cfRule>
  </conditionalFormatting>
  <conditionalFormatting sqref="L20">
    <cfRule type="cellIs" priority="90" operator="lessThan" aboveAverage="0" equalAverage="0" bottom="0" percent="0" rank="0" text="" dxfId="103">
      <formula>0</formula>
    </cfRule>
    <cfRule type="cellIs" priority="91" operator="greaterThan" aboveAverage="0" equalAverage="0" bottom="0" percent="0" rank="0" text="" dxfId="104">
      <formula>0</formula>
    </cfRule>
  </conditionalFormatting>
  <conditionalFormatting sqref="L13">
    <cfRule type="cellIs" priority="92" operator="lessThan" aboveAverage="0" equalAverage="0" bottom="0" percent="0" rank="0" text="" dxfId="105">
      <formula>0</formula>
    </cfRule>
    <cfRule type="cellIs" priority="93" operator="greaterThan" aboveAverage="0" equalAverage="0" bottom="0" percent="0" rank="0" text="" dxfId="106">
      <formula>0</formula>
    </cfRule>
  </conditionalFormatting>
  <conditionalFormatting sqref="L12">
    <cfRule type="cellIs" priority="94" operator="lessThan" aboveAverage="0" equalAverage="0" bottom="0" percent="0" rank="0" text="" dxfId="107">
      <formula>0</formula>
    </cfRule>
    <cfRule type="cellIs" priority="95" operator="greaterThan" aboveAverage="0" equalAverage="0" bottom="0" percent="0" rank="0" text="" dxfId="108">
      <formula>0</formula>
    </cfRule>
  </conditionalFormatting>
  <conditionalFormatting sqref="L11">
    <cfRule type="cellIs" priority="96" operator="lessThan" aboveAverage="0" equalAverage="0" bottom="0" percent="0" rank="0" text="" dxfId="109">
      <formula>0</formula>
    </cfRule>
    <cfRule type="cellIs" priority="97" operator="greaterThan" aboveAverage="0" equalAverage="0" bottom="0" percent="0" rank="0" text="" dxfId="110">
      <formula>0</formula>
    </cfRule>
  </conditionalFormatting>
  <conditionalFormatting sqref="L10">
    <cfRule type="cellIs" priority="98" operator="lessThan" aboveAverage="0" equalAverage="0" bottom="0" percent="0" rank="0" text="" dxfId="111">
      <formula>0</formula>
    </cfRule>
    <cfRule type="cellIs" priority="99" operator="greaterThan" aboveAverage="0" equalAverage="0" bottom="0" percent="0" rank="0" text="" dxfId="112">
      <formula>0</formula>
    </cfRule>
  </conditionalFormatting>
  <conditionalFormatting sqref="L9">
    <cfRule type="cellIs" priority="100" operator="lessThan" aboveAverage="0" equalAverage="0" bottom="0" percent="0" rank="0" text="" dxfId="113">
      <formula>0</formula>
    </cfRule>
    <cfRule type="cellIs" priority="101" operator="greaterThan" aboveAverage="0" equalAverage="0" bottom="0" percent="0" rank="0" text="" dxfId="114">
      <formula>0</formula>
    </cfRule>
  </conditionalFormatting>
  <conditionalFormatting sqref="L8">
    <cfRule type="cellIs" priority="102" operator="lessThan" aboveAverage="0" equalAverage="0" bottom="0" percent="0" rank="0" text="" dxfId="115">
      <formula>0</formula>
    </cfRule>
    <cfRule type="cellIs" priority="103" operator="greaterThan" aboveAverage="0" equalAverage="0" bottom="0" percent="0" rank="0" text="" dxfId="116">
      <formula>0</formula>
    </cfRule>
  </conditionalFormatting>
  <conditionalFormatting sqref="L7">
    <cfRule type="cellIs" priority="104" operator="lessThan" aboveAverage="0" equalAverage="0" bottom="0" percent="0" rank="0" text="" dxfId="117">
      <formula>0</formula>
    </cfRule>
    <cfRule type="cellIs" priority="105" operator="greaterThan" aboveAverage="0" equalAverage="0" bottom="0" percent="0" rank="0" text="" dxfId="118">
      <formula>0</formula>
    </cfRule>
  </conditionalFormatting>
  <conditionalFormatting sqref="L6">
    <cfRule type="cellIs" priority="106" operator="lessThan" aboveAverage="0" equalAverage="0" bottom="0" percent="0" rank="0" text="" dxfId="119">
      <formula>0</formula>
    </cfRule>
    <cfRule type="cellIs" priority="107" operator="greaterThan" aboveAverage="0" equalAverage="0" bottom="0" percent="0" rank="0" text="" dxfId="120">
      <formula>0</formula>
    </cfRule>
  </conditionalFormatting>
  <conditionalFormatting sqref="L5">
    <cfRule type="cellIs" priority="108" operator="lessThan" aboveAverage="0" equalAverage="0" bottom="0" percent="0" rank="0" text="" dxfId="121">
      <formula>0</formula>
    </cfRule>
    <cfRule type="cellIs" priority="109" operator="greaterThan" aboveAverage="0" equalAverage="0" bottom="0" percent="0" rank="0" text="" dxfId="122">
      <formula>0</formula>
    </cfRule>
  </conditionalFormatting>
  <conditionalFormatting sqref="L5:L24">
    <cfRule type="cellIs" priority="110" operator="greaterThan" aboveAverage="0" equalAverage="0" bottom="0" percent="0" rank="0" text="" dxfId="123">
      <formula>0</formula>
    </cfRule>
    <cfRule type="cellIs" priority="111" operator="lessThan" aboveAverage="0" equalAverage="0" bottom="0" percent="0" rank="0" text="" dxfId="124">
      <formula>0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0485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43" activeCellId="0" sqref="D43"/>
    </sheetView>
  </sheetViews>
  <sheetFormatPr defaultColWidth="11.4453125" defaultRowHeight="13.8" zeroHeight="false" outlineLevelRow="0" outlineLevelCol="0"/>
  <cols>
    <col collapsed="false" customWidth="true" hidden="false" outlineLevel="0" max="1" min="1" style="1" width="13.88"/>
    <col collapsed="false" customWidth="false" hidden="false" outlineLevel="0" max="3" min="2" style="1" width="11.44"/>
    <col collapsed="false" customWidth="true" hidden="false" outlineLevel="0" max="4" min="4" style="1" width="25.88"/>
    <col collapsed="false" customWidth="true" hidden="false" outlineLevel="0" max="5" min="5" style="1" width="12.88"/>
    <col collapsed="false" customWidth="true" hidden="false" outlineLevel="0" max="6" min="6" style="1" width="8.88"/>
    <col collapsed="false" customWidth="false" hidden="false" outlineLevel="0" max="7" min="7" style="1" width="11.44"/>
    <col collapsed="false" customWidth="true" hidden="false" outlineLevel="0" max="8" min="8" style="1" width="16.44"/>
    <col collapsed="false" customWidth="false" hidden="false" outlineLevel="0" max="10" min="9" style="1" width="11.44"/>
    <col collapsed="false" customWidth="true" hidden="false" outlineLevel="0" max="11" min="11" style="1" width="25.67"/>
    <col collapsed="false" customWidth="true" hidden="false" outlineLevel="0" max="12" min="12" style="1" width="11.56"/>
    <col collapsed="false" customWidth="false" hidden="false" outlineLevel="0" max="13" min="13" style="1" width="11.44"/>
    <col collapsed="false" customWidth="true" hidden="false" outlineLevel="0" max="14" min="14" style="1" width="25.56"/>
    <col collapsed="false" customWidth="false" hidden="false" outlineLevel="0" max="16384" min="15" style="1" width="11.44"/>
  </cols>
  <sheetData>
    <row r="1" customFormat="false" ht="14.25" hidden="false" customHeight="false" outlineLevel="0" collapsed="false">
      <c r="A1" s="2" t="s">
        <v>0</v>
      </c>
      <c r="B1" s="3"/>
      <c r="D1" s="4" t="s">
        <v>1</v>
      </c>
      <c r="E1" s="3" t="n">
        <f aca="false">SUM(C5:C51)+SUM(B5:B51)-SUMIF(Tableau327[Raison],"Salaire",Tableau327[Crédit])</f>
        <v>0</v>
      </c>
      <c r="F1" s="5"/>
      <c r="G1" s="6"/>
      <c r="H1" s="4" t="s">
        <v>51</v>
      </c>
      <c r="I1" s="3" t="n">
        <f aca="false">IF(SUMIF(Tableau327[Raison],"Salaire",Tableau327[Crédit])=0,2200,SUMIF(Tableau327[Raison],"Salaire",Tableau327[Crédit]))</f>
        <v>2200</v>
      </c>
    </row>
    <row r="2" customFormat="false" ht="15" hidden="false" customHeight="false" outlineLevel="0" collapsed="false">
      <c r="A2" s="2" t="s">
        <v>3</v>
      </c>
      <c r="B2" s="3"/>
      <c r="D2" s="4" t="s">
        <v>4</v>
      </c>
      <c r="E2" s="3" t="n">
        <f aca="false">I1+E1</f>
        <v>2200</v>
      </c>
      <c r="F2" s="7"/>
      <c r="G2" s="8" t="n">
        <f aca="false">(100/I1)*E2/100</f>
        <v>1</v>
      </c>
    </row>
    <row r="3" customFormat="false" ht="14.25" hidden="false" customHeight="false" outlineLevel="0" collapsed="false">
      <c r="F3" s="9"/>
    </row>
    <row r="4" customFormat="false" ht="13.8" hidden="false" customHeight="false" outlineLevel="0" collapsed="false">
      <c r="A4" s="75" t="s">
        <v>5</v>
      </c>
      <c r="B4" s="76" t="s">
        <v>6</v>
      </c>
      <c r="C4" s="77" t="s">
        <v>7</v>
      </c>
      <c r="D4" s="78" t="s">
        <v>8</v>
      </c>
      <c r="E4" s="79" t="s">
        <v>9</v>
      </c>
      <c r="F4" s="80" t="s">
        <v>10</v>
      </c>
      <c r="K4" s="72" t="s">
        <v>11</v>
      </c>
      <c r="L4" s="17" t="s">
        <v>12</v>
      </c>
    </row>
    <row r="5" customFormat="false" ht="13.8" hidden="false" customHeight="false" outlineLevel="0" collapsed="false">
      <c r="A5" s="28"/>
      <c r="B5" s="19"/>
      <c r="C5" s="20"/>
      <c r="D5" s="21"/>
      <c r="E5" s="22" t="str">
        <f aca="false">IF(F5="X",B1+C5+B5,"")</f>
        <v/>
      </c>
      <c r="F5" s="23"/>
      <c r="K5" s="24"/>
      <c r="L5" s="25" t="n">
        <f aca="false">IF(K5&lt;&gt;"",SUMIF($D$5:$D$55,K5,$C$5:$C$55)+SUMIF($D$5:$D$55,K5,$B$5:$B$55))</f>
        <v>0</v>
      </c>
    </row>
    <row r="6" customFormat="false" ht="13.8" hidden="false" customHeight="false" outlineLevel="0" collapsed="false">
      <c r="A6" s="28"/>
      <c r="B6" s="19"/>
      <c r="C6" s="20"/>
      <c r="D6" s="21"/>
      <c r="E6" s="22" t="str">
        <f aca="false">IF(F6="X",E5+C6+B6,"")</f>
        <v/>
      </c>
      <c r="F6" s="23"/>
      <c r="K6" s="26"/>
      <c r="L6" s="25" t="str">
        <f aca="false">IF(K6&lt;&gt;"",SUMIF($D$5:$D$55,K6,$C$5:$C$55)+SUMIF($D$5:$D$55,K6,$B$5:$B$55),"")</f>
        <v/>
      </c>
    </row>
    <row r="7" customFormat="false" ht="13.8" hidden="false" customHeight="false" outlineLevel="0" collapsed="false">
      <c r="A7" s="28"/>
      <c r="B7" s="19"/>
      <c r="C7" s="20"/>
      <c r="D7" s="21"/>
      <c r="E7" s="22" t="str">
        <f aca="false">IF(F7="X",E6+C7+B7,"")</f>
        <v/>
      </c>
      <c r="F7" s="23"/>
      <c r="K7" s="26"/>
      <c r="L7" s="25" t="str">
        <f aca="false">IF(K7&lt;&gt;"",SUMIF($D$5:$D$55,K7,$C$5:$C$55)+SUMIF($D$5:$D$55,K7,$B$5:$B$55),"")</f>
        <v/>
      </c>
    </row>
    <row r="8" customFormat="false" ht="13.8" hidden="false" customHeight="false" outlineLevel="0" collapsed="false">
      <c r="A8" s="28"/>
      <c r="B8" s="19"/>
      <c r="C8" s="20"/>
      <c r="D8" s="21"/>
      <c r="E8" s="22" t="str">
        <f aca="false">IF(F8="X",E7+C8+B8,"")</f>
        <v/>
      </c>
      <c r="F8" s="23"/>
      <c r="K8" s="26"/>
      <c r="L8" s="25" t="str">
        <f aca="false">IF(K8&lt;&gt;"",SUMIF($D$5:$D$55,K8,$C$5:$C$55)+SUMIF($D$5:$D$55,K8,$B$5:$B$55),"")</f>
        <v/>
      </c>
    </row>
    <row r="9" customFormat="false" ht="13.8" hidden="false" customHeight="false" outlineLevel="0" collapsed="false">
      <c r="A9" s="28"/>
      <c r="B9" s="19"/>
      <c r="C9" s="20"/>
      <c r="D9" s="21"/>
      <c r="E9" s="22" t="str">
        <f aca="false">IF(F9="X",E8+C9+B9,"")</f>
        <v/>
      </c>
      <c r="F9" s="23"/>
      <c r="K9" s="26"/>
      <c r="L9" s="25" t="str">
        <f aca="false">IF(K9&lt;&gt;"",SUMIF($D$5:$D$55,K9,$C$5:$C$55)+SUMIF($D$5:$D$55,K9,$B$5:$B$55),"")</f>
        <v/>
      </c>
    </row>
    <row r="10" customFormat="false" ht="13.8" hidden="false" customHeight="false" outlineLevel="0" collapsed="false">
      <c r="A10" s="28"/>
      <c r="B10" s="30"/>
      <c r="C10" s="31"/>
      <c r="D10" s="21"/>
      <c r="E10" s="22" t="str">
        <f aca="false">IF(F10="X",E9+C10+B10,"")</f>
        <v/>
      </c>
      <c r="F10" s="23"/>
      <c r="K10" s="26"/>
      <c r="L10" s="25" t="str">
        <f aca="false">IF(K10&lt;&gt;"",SUMIF($D$5:$D$55,K10,$C$5:$C$55)+SUMIF($D$5:$D$55,K10,$B$5:$B$55),"")</f>
        <v/>
      </c>
    </row>
    <row r="11" customFormat="false" ht="13.8" hidden="false" customHeight="false" outlineLevel="0" collapsed="false">
      <c r="A11" s="28"/>
      <c r="B11" s="19"/>
      <c r="C11" s="20"/>
      <c r="D11" s="21"/>
      <c r="E11" s="22" t="str">
        <f aca="false">IF(F11="X",E10+C11+B11,"")</f>
        <v/>
      </c>
      <c r="F11" s="23"/>
      <c r="K11" s="26"/>
      <c r="L11" s="25" t="str">
        <f aca="false">IF(K11&lt;&gt;"",SUMIF($D$5:$D$55,K11,$C$5:$C$55)+SUMIF($D$5:$D$55,K11,$B$5:$B$55),"")</f>
        <v/>
      </c>
    </row>
    <row r="12" customFormat="false" ht="13.8" hidden="false" customHeight="false" outlineLevel="0" collapsed="false">
      <c r="A12" s="18"/>
      <c r="B12" s="19"/>
      <c r="C12" s="20"/>
      <c r="D12" s="21"/>
      <c r="E12" s="22" t="str">
        <f aca="false">IF(F12="X",E11+C12+B12,"")</f>
        <v/>
      </c>
      <c r="F12" s="23"/>
      <c r="K12" s="26"/>
      <c r="L12" s="25" t="str">
        <f aca="false">IF(K12&lt;&gt;"",SUMIF($D$5:$D$55,K12,$C$5:$C$55)+SUMIF($D$5:$D$55,K12,$B$5:$B$55),"")</f>
        <v/>
      </c>
    </row>
    <row r="13" customFormat="false" ht="13.8" hidden="false" customHeight="false" outlineLevel="0" collapsed="false">
      <c r="A13" s="18"/>
      <c r="B13" s="19"/>
      <c r="C13" s="20"/>
      <c r="D13" s="21"/>
      <c r="E13" s="22" t="str">
        <f aca="false">IF(F13="X",E12+C13+B13,"")</f>
        <v/>
      </c>
      <c r="F13" s="23"/>
      <c r="K13" s="26"/>
      <c r="L13" s="25" t="str">
        <f aca="false">IF(K13&lt;&gt;"",SUMIF($D$5:$D$55,K13,$C$5:$C$55)+SUMIF($D$5:$D$55,K13,$B$5:$B$55),"")</f>
        <v/>
      </c>
    </row>
    <row r="14" customFormat="false" ht="13.8" hidden="false" customHeight="false" outlineLevel="0" collapsed="false">
      <c r="A14" s="18"/>
      <c r="B14" s="19"/>
      <c r="C14" s="20"/>
      <c r="D14" s="21"/>
      <c r="E14" s="22" t="str">
        <f aca="false">IF(F14="X",E13+C14+B14,"")</f>
        <v/>
      </c>
      <c r="F14" s="23"/>
      <c r="K14" s="26"/>
      <c r="L14" s="25" t="str">
        <f aca="false">IF(K14&lt;&gt;"",SUMIF($D$5:$D$55,K14,$C$5:$C$55)+SUMIF($D$5:$D$55,K14,$B$5:$B$55),"")</f>
        <v/>
      </c>
    </row>
    <row r="15" customFormat="false" ht="13.8" hidden="false" customHeight="false" outlineLevel="0" collapsed="false">
      <c r="A15" s="28"/>
      <c r="B15" s="19"/>
      <c r="C15" s="20"/>
      <c r="D15" s="21"/>
      <c r="E15" s="22" t="str">
        <f aca="false">IF(F15="X",E14+C15+B15,"")</f>
        <v/>
      </c>
      <c r="F15" s="23"/>
      <c r="K15" s="26"/>
      <c r="L15" s="25" t="str">
        <f aca="false">IF(K15&lt;&gt;"",SUMIF($D$5:$D$55,K15,$C$5:$C$55)+SUMIF($D$5:$D$55,K15,$B$5:$B$55),"")</f>
        <v/>
      </c>
    </row>
    <row r="16" customFormat="false" ht="13.8" hidden="false" customHeight="false" outlineLevel="0" collapsed="false">
      <c r="A16" s="28"/>
      <c r="B16" s="19"/>
      <c r="C16" s="20"/>
      <c r="D16" s="21"/>
      <c r="E16" s="22" t="str">
        <f aca="false">IF(F16="X",E15+C16+B16,"")</f>
        <v/>
      </c>
      <c r="F16" s="23"/>
      <c r="K16" s="26"/>
      <c r="L16" s="25" t="str">
        <f aca="false">IF(K16&lt;&gt;"",SUMIF($D$5:$D$55,K16,$C$5:$C$55)+SUMIF($D$5:$D$55,K16,$B$5:$B$55),"")</f>
        <v/>
      </c>
    </row>
    <row r="17" customFormat="false" ht="13.8" hidden="false" customHeight="false" outlineLevel="0" collapsed="false">
      <c r="A17" s="28"/>
      <c r="B17" s="19"/>
      <c r="C17" s="20"/>
      <c r="D17" s="21"/>
      <c r="E17" s="22" t="str">
        <f aca="false">IF(F17="X",E16+C17+B17,"")</f>
        <v/>
      </c>
      <c r="F17" s="23"/>
      <c r="K17" s="26"/>
      <c r="L17" s="25" t="str">
        <f aca="false">IF(K17&lt;&gt;"",SUMIF($D$5:$D$55,K17,$C$5:$C$55)+SUMIF($D$5:$D$55,K17,$B$5:$B$55),"")</f>
        <v/>
      </c>
    </row>
    <row r="18" customFormat="false" ht="13.8" hidden="false" customHeight="false" outlineLevel="0" collapsed="false">
      <c r="A18" s="28"/>
      <c r="B18" s="19"/>
      <c r="C18" s="20"/>
      <c r="D18" s="21"/>
      <c r="E18" s="22" t="str">
        <f aca="false">IF(F18="X",E17+C18+B18,"")</f>
        <v/>
      </c>
      <c r="F18" s="23"/>
      <c r="K18" s="26"/>
      <c r="L18" s="25" t="str">
        <f aca="false">IF(K18&lt;&gt;"",SUMIF($D$5:$D$55,K18,$C$5:$C$55)+SUMIF($D$5:$D$55,K18,$B$5:$B$55),"")</f>
        <v/>
      </c>
    </row>
    <row r="19" customFormat="false" ht="13.8" hidden="false" customHeight="false" outlineLevel="0" collapsed="false">
      <c r="A19" s="28"/>
      <c r="B19" s="19"/>
      <c r="C19" s="20"/>
      <c r="D19" s="21"/>
      <c r="E19" s="22" t="str">
        <f aca="false">IF(F19="X",E18+C19+B19,"")</f>
        <v/>
      </c>
      <c r="F19" s="37"/>
      <c r="K19" s="26"/>
      <c r="L19" s="25" t="str">
        <f aca="false">IF(K19&lt;&gt;"",SUMIF($D$5:$D$55,K19,$C$5:$C$55)+SUMIF($D$5:$D$55,K19,$B$5:$B$55),"")</f>
        <v/>
      </c>
    </row>
    <row r="20" customFormat="false" ht="13.8" hidden="false" customHeight="false" outlineLevel="0" collapsed="false">
      <c r="A20" s="28"/>
      <c r="B20" s="19"/>
      <c r="C20" s="20"/>
      <c r="D20" s="21"/>
      <c r="E20" s="22" t="str">
        <f aca="false">IF(F20="X",E19+C20+B20,"")</f>
        <v/>
      </c>
      <c r="F20" s="23"/>
      <c r="K20" s="26"/>
      <c r="L20" s="25" t="str">
        <f aca="false">IF(K20&lt;&gt;"",SUMIF($D$5:$D$55,K20,$C$5:$C$55)+SUMIF($D$5:$D$55,K20,$B$5:$B$55),"")</f>
        <v/>
      </c>
    </row>
    <row r="21" customFormat="false" ht="13.8" hidden="false" customHeight="false" outlineLevel="0" collapsed="false">
      <c r="A21" s="28"/>
      <c r="B21" s="19"/>
      <c r="C21" s="31"/>
      <c r="D21" s="21"/>
      <c r="E21" s="22" t="str">
        <f aca="false">IF(F21="X",E20+C21+B21,"")</f>
        <v/>
      </c>
      <c r="F21" s="23"/>
      <c r="K21" s="26"/>
      <c r="L21" s="25" t="str">
        <f aca="false">IF(K21&lt;&gt;"",SUMIF($D$5:$D$55,K21,$C$5:$C$55)+SUMIF($D$5:$D$55,K21,$B$5:$B$55),"")</f>
        <v/>
      </c>
    </row>
    <row r="22" customFormat="false" ht="13.8" hidden="false" customHeight="false" outlineLevel="0" collapsed="false">
      <c r="A22" s="28"/>
      <c r="B22" s="19"/>
      <c r="C22" s="20"/>
      <c r="D22" s="21"/>
      <c r="E22" s="22" t="str">
        <f aca="false">IF(F22="X",E21+C22+B22,"")</f>
        <v/>
      </c>
      <c r="F22" s="23"/>
      <c r="K22" s="26"/>
      <c r="L22" s="25" t="str">
        <f aca="false">IF(K22&lt;&gt;"",SUMIF($D$5:$D$55,K22,$C$5:$C$55)+SUMIF($D$5:$D$55,K22,$B$5:$B$55),"")</f>
        <v/>
      </c>
    </row>
    <row r="23" customFormat="false" ht="13.8" hidden="false" customHeight="false" outlineLevel="0" collapsed="false">
      <c r="A23" s="28"/>
      <c r="B23" s="19"/>
      <c r="C23" s="20"/>
      <c r="D23" s="21"/>
      <c r="E23" s="22" t="str">
        <f aca="false">IF(F23="X",E22+C23+B23,"")</f>
        <v/>
      </c>
      <c r="F23" s="23"/>
      <c r="K23" s="26"/>
      <c r="L23" s="25" t="str">
        <f aca="false">IF(K23&lt;&gt;"",SUMIF($D$5:$D$55,K23,$C$5:$C$55)+SUMIF($D$5:$D$55,K23,$B$5:$B$55),"")</f>
        <v/>
      </c>
    </row>
    <row r="24" customFormat="false" ht="13.8" hidden="false" customHeight="false" outlineLevel="0" collapsed="false">
      <c r="A24" s="28"/>
      <c r="B24" s="19"/>
      <c r="C24" s="20"/>
      <c r="D24" s="21"/>
      <c r="E24" s="22" t="str">
        <f aca="false">IF(F24="X",E23+C24+B24,"")</f>
        <v/>
      </c>
      <c r="F24" s="23"/>
      <c r="K24" s="26"/>
      <c r="L24" s="25" t="str">
        <f aca="false">IF(K24&lt;&gt;"",SUMIF($D$5:$D$55,K24,$C$5:$C$55)+SUMIF($D$5:$D$55,K24,$B$5:$B$55),"")</f>
        <v/>
      </c>
    </row>
    <row r="25" customFormat="false" ht="13.8" hidden="false" customHeight="false" outlineLevel="0" collapsed="false">
      <c r="A25" s="28"/>
      <c r="B25" s="19"/>
      <c r="C25" s="20"/>
      <c r="D25" s="21"/>
      <c r="E25" s="22" t="str">
        <f aca="false">IF(F25="X",E24+C25+B25,"")</f>
        <v/>
      </c>
      <c r="F25" s="37"/>
      <c r="K25" s="26"/>
      <c r="L25" s="29"/>
    </row>
    <row r="26" customFormat="false" ht="13.8" hidden="false" customHeight="false" outlineLevel="0" collapsed="false">
      <c r="A26" s="28"/>
      <c r="B26" s="19"/>
      <c r="C26" s="20"/>
      <c r="D26" s="21"/>
      <c r="E26" s="22" t="str">
        <f aca="false">IF(F26="X",E25+C26+B26,"")</f>
        <v/>
      </c>
      <c r="F26" s="23"/>
      <c r="K26" s="26"/>
      <c r="L26" s="29"/>
    </row>
    <row r="27" customFormat="false" ht="13.8" hidden="false" customHeight="false" outlineLevel="0" collapsed="false">
      <c r="A27" s="28"/>
      <c r="B27" s="19"/>
      <c r="C27" s="20"/>
      <c r="D27" s="21"/>
      <c r="E27" s="22" t="str">
        <f aca="false">IF(F27="X",E26+C27+B27,"")</f>
        <v/>
      </c>
      <c r="F27" s="23"/>
      <c r="K27" s="26"/>
      <c r="L27" s="29"/>
    </row>
    <row r="28" customFormat="false" ht="13.8" hidden="false" customHeight="false" outlineLevel="0" collapsed="false">
      <c r="A28" s="28"/>
      <c r="B28" s="19"/>
      <c r="C28" s="20"/>
      <c r="D28" s="21"/>
      <c r="E28" s="22" t="str">
        <f aca="false">IF(F28="X",E27+C28+B28,"")</f>
        <v/>
      </c>
      <c r="F28" s="23"/>
      <c r="K28" s="26"/>
      <c r="L28" s="29"/>
    </row>
    <row r="29" customFormat="false" ht="13.8" hidden="false" customHeight="false" outlineLevel="0" collapsed="false">
      <c r="A29" s="28"/>
      <c r="B29" s="19"/>
      <c r="C29" s="20"/>
      <c r="D29" s="21"/>
      <c r="E29" s="22" t="str">
        <f aca="false">IF(F29="X",E28+C29+B29,"")</f>
        <v/>
      </c>
      <c r="F29" s="23"/>
      <c r="K29" s="26"/>
      <c r="L29" s="29"/>
    </row>
    <row r="30" customFormat="false" ht="13.8" hidden="false" customHeight="false" outlineLevel="0" collapsed="false">
      <c r="A30" s="28"/>
      <c r="B30" s="19"/>
      <c r="C30" s="20"/>
      <c r="D30" s="21"/>
      <c r="E30" s="22" t="str">
        <f aca="false">IF(F30="X",E29+C30+B30,"")</f>
        <v/>
      </c>
      <c r="F30" s="23"/>
      <c r="K30" s="26"/>
      <c r="L30" s="29"/>
    </row>
    <row r="31" customFormat="false" ht="13.8" hidden="false" customHeight="false" outlineLevel="0" collapsed="false">
      <c r="A31" s="28"/>
      <c r="B31" s="19"/>
      <c r="C31" s="20"/>
      <c r="D31" s="21"/>
      <c r="E31" s="22" t="str">
        <f aca="false">IF(F31="X",E30+C31+B31,"")</f>
        <v/>
      </c>
      <c r="F31" s="23"/>
      <c r="K31" s="26"/>
      <c r="L31" s="29"/>
    </row>
    <row r="32" customFormat="false" ht="13.8" hidden="false" customHeight="false" outlineLevel="0" collapsed="false">
      <c r="A32" s="28"/>
      <c r="B32" s="19"/>
      <c r="C32" s="20"/>
      <c r="D32" s="21"/>
      <c r="E32" s="22" t="str">
        <f aca="false">IF(F32="X",E31+C32+B32,"")</f>
        <v/>
      </c>
      <c r="F32" s="23"/>
      <c r="K32" s="26"/>
      <c r="L32" s="29"/>
    </row>
    <row r="33" customFormat="false" ht="13.8" hidden="false" customHeight="false" outlineLevel="0" collapsed="false">
      <c r="A33" s="28"/>
      <c r="B33" s="19"/>
      <c r="C33" s="20"/>
      <c r="D33" s="21"/>
      <c r="E33" s="22" t="str">
        <f aca="false">IF(F33="X",E32+C33+B33,"")</f>
        <v/>
      </c>
      <c r="F33" s="23"/>
      <c r="K33" s="26"/>
      <c r="L33" s="29"/>
    </row>
    <row r="34" customFormat="false" ht="13.8" hidden="false" customHeight="false" outlineLevel="0" collapsed="false">
      <c r="A34" s="28"/>
      <c r="B34" s="19"/>
      <c r="C34" s="20"/>
      <c r="D34" s="21"/>
      <c r="E34" s="22" t="str">
        <f aca="false">IF(F34="X",E33+C34+B34,"")</f>
        <v/>
      </c>
      <c r="F34" s="23"/>
      <c r="K34" s="26"/>
      <c r="L34" s="29"/>
    </row>
    <row r="35" customFormat="false" ht="13.8" hidden="false" customHeight="false" outlineLevel="0" collapsed="false">
      <c r="A35" s="28"/>
      <c r="B35" s="19"/>
      <c r="C35" s="20"/>
      <c r="D35" s="21"/>
      <c r="E35" s="22" t="str">
        <f aca="false">IF(F35="X",E34+C35+B35,"")</f>
        <v/>
      </c>
      <c r="F35" s="23"/>
      <c r="K35" s="26"/>
      <c r="L35" s="29" t="str">
        <f aca="false">IF(Tableau732333[[#This Row],[PRATIQUE]]&lt;&gt;"",SUMIF($D$5:$D$16,K35,$C$5:$C$16)+SUMIF($D$5:$D$16,K35,$B$5:$B$16),"")</f>
        <v/>
      </c>
    </row>
    <row r="36" customFormat="false" ht="13.8" hidden="false" customHeight="false" outlineLevel="0" collapsed="false">
      <c r="A36" s="28"/>
      <c r="B36" s="19"/>
      <c r="C36" s="20"/>
      <c r="D36" s="21"/>
      <c r="E36" s="22" t="str">
        <f aca="false">IF(F36="X",E35+C36+B36,"")</f>
        <v/>
      </c>
      <c r="F36" s="23"/>
      <c r="K36" s="26"/>
      <c r="L36" s="29" t="str">
        <f aca="false">IF(Tableau732333[[#This Row],[PRATIQUE]]&lt;&gt;"",SUMIF($D$5:$D$16,K47,$C$5:$C$16)+SUMIF($D$5:$D$16,K47,$B$5:$B$16),"")</f>
        <v/>
      </c>
    </row>
    <row r="37" customFormat="false" ht="13.8" hidden="false" customHeight="false" outlineLevel="0" collapsed="false">
      <c r="A37" s="28"/>
      <c r="B37" s="19"/>
      <c r="C37" s="20"/>
      <c r="D37" s="21"/>
      <c r="E37" s="22" t="str">
        <f aca="false">IF(F37="X",E36+C37+B37,"")</f>
        <v/>
      </c>
      <c r="F37" s="23"/>
      <c r="K37" s="26"/>
      <c r="L37" s="29" t="str">
        <f aca="false">IF(Tableau732333[[#This Row],[PRATIQUE]]&lt;&gt;"",SUMIF($D$5:$D$16,K37,$C$5:$C$16)+SUMIF($D$5:$D$16,K37,$B$5:$B$16),"")</f>
        <v/>
      </c>
    </row>
    <row r="38" customFormat="false" ht="13.8" hidden="false" customHeight="false" outlineLevel="0" collapsed="false">
      <c r="A38" s="28"/>
      <c r="B38" s="19"/>
      <c r="C38" s="20"/>
      <c r="D38" s="21"/>
      <c r="E38" s="22" t="str">
        <f aca="false">IF(F38="X",E37+C38+B38,"")</f>
        <v/>
      </c>
      <c r="F38" s="23"/>
      <c r="K38" s="26"/>
      <c r="L38" s="29" t="str">
        <f aca="false">IF(Tableau732333[[#This Row],[PRATIQUE]]&lt;&gt;"",SUMIF($D$5:$D$16,K38,$C$5:$C$16)+SUMIF($D$5:$D$16,K38,$B$5:$B$16),"")</f>
        <v/>
      </c>
    </row>
    <row r="39" customFormat="false" ht="13.8" hidden="false" customHeight="false" outlineLevel="0" collapsed="false">
      <c r="A39" s="28"/>
      <c r="B39" s="19"/>
      <c r="C39" s="20"/>
      <c r="D39" s="21"/>
      <c r="E39" s="22" t="str">
        <f aca="false">IF(F39="X",E38+C39+B39,"")</f>
        <v/>
      </c>
      <c r="F39" s="23"/>
      <c r="K39" s="26"/>
      <c r="L39" s="29" t="str">
        <f aca="false">IF(Tableau732333[[#This Row],[PRATIQUE]]&lt;&gt;"",SUMIF($D$5:$D$16,K39,$C$5:$C$16)+SUMIF($D$5:$D$16,K39,$B$5:$B$16),"")</f>
        <v/>
      </c>
    </row>
    <row r="40" customFormat="false" ht="13.8" hidden="false" customHeight="false" outlineLevel="0" collapsed="false">
      <c r="A40" s="28"/>
      <c r="B40" s="19"/>
      <c r="C40" s="20"/>
      <c r="D40" s="21"/>
      <c r="E40" s="22" t="str">
        <f aca="false">IF(F40="X",#REF!+C40+B40,"")</f>
        <v/>
      </c>
      <c r="F40" s="23"/>
      <c r="K40" s="32"/>
      <c r="L40" s="32"/>
    </row>
    <row r="41" customFormat="false" ht="13.8" hidden="false" customHeight="false" outlineLevel="0" collapsed="false">
      <c r="A41" s="28"/>
      <c r="B41" s="19"/>
      <c r="C41" s="20"/>
      <c r="D41" s="21"/>
      <c r="E41" s="22" t="str">
        <f aca="false">IF(F41="X",E40+C41+B41,"")</f>
        <v/>
      </c>
      <c r="F41" s="23"/>
      <c r="K41" s="33" t="s">
        <v>41</v>
      </c>
      <c r="L41" s="29" t="n">
        <f aca="false">SUMIF(D5:D42,"Orange",C5:C42)+SUMIF(D5:D42,"TEGO",C5:C42)+SUMIF(D5:D42,"Carac",C5:C42)+SUMIF(D5:D42,"UNEO",C5:C42)+SUMIF(D5:D42,"Crédit Mutuel",C5:C42)+SUMIF(D5:D42,"Darkwood",C5:C42)+SUMIF(D5:D42,"Loyer",C5:C42)+SUMIF(D5:D42,"GoWod",C5:C42)+SUMIF(D5:D42,"EPARMIL",C5:C42)+SUMIF(D5:D42,"Virement Livret Bébé",C5:C42)</f>
        <v>0</v>
      </c>
    </row>
    <row r="42" customFormat="false" ht="13.8" hidden="false" customHeight="false" outlineLevel="0" collapsed="false">
      <c r="A42" s="28"/>
      <c r="B42" s="19"/>
      <c r="C42" s="20"/>
      <c r="D42" s="21"/>
      <c r="E42" s="22" t="str">
        <f aca="false">IF(F42="X",E41+C42+B42,"")</f>
        <v/>
      </c>
      <c r="F42" s="23"/>
      <c r="K42" s="34"/>
      <c r="L42" s="34"/>
    </row>
    <row r="43" customFormat="false" ht="13.8" hidden="false" customHeight="false" outlineLevel="0" collapsed="false">
      <c r="A43" s="28"/>
      <c r="B43" s="19"/>
      <c r="C43" s="20"/>
      <c r="D43" s="21"/>
      <c r="E43" s="22" t="str">
        <f aca="false">IF(F43="X",E42+C43+B43,"")</f>
        <v/>
      </c>
      <c r="F43" s="23"/>
      <c r="K43" s="35" t="s">
        <v>12</v>
      </c>
      <c r="L43" s="29" t="n">
        <f aca="false">SUM(L4:L40)</f>
        <v>0</v>
      </c>
    </row>
    <row r="44" customFormat="false" ht="13.8" hidden="false" customHeight="false" outlineLevel="0" collapsed="false">
      <c r="A44" s="28"/>
      <c r="B44" s="19"/>
      <c r="C44" s="20"/>
      <c r="D44" s="21"/>
      <c r="E44" s="22" t="str">
        <f aca="false">IF(F44="X",E43+C44+B44,"")</f>
        <v/>
      </c>
      <c r="F44" s="23"/>
      <c r="K44" s="35" t="s">
        <v>42</v>
      </c>
      <c r="L44" s="29" t="n">
        <f aca="false">I1+L43</f>
        <v>2200</v>
      </c>
    </row>
    <row r="45" customFormat="false" ht="13.8" hidden="false" customHeight="false" outlineLevel="0" collapsed="false">
      <c r="A45" s="28"/>
      <c r="B45" s="19"/>
      <c r="C45" s="20"/>
      <c r="D45" s="21"/>
      <c r="E45" s="22" t="str">
        <f aca="false">IF(F45="X",E44+C45+B45,"")</f>
        <v/>
      </c>
      <c r="F45" s="23"/>
    </row>
    <row r="46" customFormat="false" ht="13.8" hidden="false" customHeight="false" outlineLevel="0" collapsed="false">
      <c r="A46" s="28"/>
      <c r="B46" s="19"/>
      <c r="C46" s="20"/>
      <c r="D46" s="21"/>
      <c r="E46" s="22" t="str">
        <f aca="false">IF(F46="X",E45+C46+B46,"")</f>
        <v/>
      </c>
      <c r="F46" s="23"/>
    </row>
    <row r="47" customFormat="false" ht="13.8" hidden="false" customHeight="false" outlineLevel="0" collapsed="false">
      <c r="A47" s="28"/>
      <c r="B47" s="19"/>
      <c r="C47" s="20"/>
      <c r="D47" s="21"/>
      <c r="E47" s="22" t="str">
        <f aca="false">IF(F47="X",E46+C47+B47,"")</f>
        <v/>
      </c>
      <c r="F47" s="23"/>
    </row>
    <row r="48" customFormat="false" ht="13.8" hidden="false" customHeight="false" outlineLevel="0" collapsed="false">
      <c r="A48" s="28"/>
      <c r="B48" s="19"/>
      <c r="C48" s="20"/>
      <c r="D48" s="21"/>
      <c r="E48" s="22" t="str">
        <f aca="false">IF(F48="X",E47+C48+B48,"")</f>
        <v/>
      </c>
      <c r="F48" s="23"/>
    </row>
    <row r="49" customFormat="false" ht="13.8" hidden="false" customHeight="false" outlineLevel="0" collapsed="false">
      <c r="A49" s="28"/>
      <c r="B49" s="19"/>
      <c r="C49" s="20"/>
      <c r="D49" s="21"/>
      <c r="E49" s="22" t="str">
        <f aca="false">IF(F49="X",E48+C49+B49,"")</f>
        <v/>
      </c>
      <c r="F49" s="23"/>
    </row>
    <row r="50" customFormat="false" ht="13.8" hidden="false" customHeight="false" outlineLevel="0" collapsed="false">
      <c r="A50" s="28"/>
      <c r="B50" s="19"/>
      <c r="C50" s="20"/>
      <c r="D50" s="21"/>
      <c r="E50" s="22" t="str">
        <f aca="false">IF(F50="X",E49+C50+B50,"")</f>
        <v/>
      </c>
      <c r="F50" s="23"/>
    </row>
    <row r="51" customFormat="false" ht="13.8" hidden="false" customHeight="false" outlineLevel="0" collapsed="false">
      <c r="A51" s="81"/>
      <c r="B51" s="60"/>
      <c r="C51" s="61"/>
      <c r="D51" s="62"/>
      <c r="E51" s="82" t="str">
        <f aca="false">IF(F51="X",E50+C51+B51,"")</f>
        <v/>
      </c>
      <c r="F51" s="83"/>
    </row>
    <row r="55" customFormat="false" ht="13.8" hidden="false" customHeight="false" outlineLevel="0" collapsed="false">
      <c r="J55" s="36"/>
    </row>
    <row r="1048575" customFormat="false" ht="12.8" hidden="false" customHeight="false" outlineLevel="0" collapsed="false"/>
    <row r="1048576" customFormat="false" ht="12.8" hidden="false" customHeight="false" outlineLevel="0" collapsed="false"/>
  </sheetData>
  <mergeCells count="1">
    <mergeCell ref="K42:L42"/>
  </mergeCells>
  <conditionalFormatting sqref="L41:L42">
    <cfRule type="cellIs" priority="2" operator="greaterThan" aboveAverage="0" equalAverage="0" bottom="0" percent="0" rank="0" text="" dxfId="713">
      <formula>0</formula>
    </cfRule>
    <cfRule type="cellIs" priority="3" operator="lessThan" aboveAverage="0" equalAverage="0" bottom="0" percent="0" rank="0" text="" dxfId="714">
      <formula>0</formula>
    </cfRule>
  </conditionalFormatting>
  <conditionalFormatting sqref="K37">
    <cfRule type="expression" priority="4" aboveAverage="0" equalAverage="0" bottom="0" percent="0" rank="0" text="" dxfId="715">
      <formula>L37&gt;0</formula>
    </cfRule>
    <cfRule type="expression" priority="5" aboveAverage="0" equalAverage="0" bottom="0" percent="0" rank="0" text="" dxfId="716">
      <formula>L37&lt;0</formula>
    </cfRule>
  </conditionalFormatting>
  <conditionalFormatting sqref="K36">
    <cfRule type="expression" priority="6" aboveAverage="0" equalAverage="0" bottom="0" percent="0" rank="0" text="" dxfId="717">
      <formula>L36&gt;0</formula>
    </cfRule>
    <cfRule type="expression" priority="7" aboveAverage="0" equalAverage="0" bottom="0" percent="0" rank="0" text="" dxfId="718">
      <formula>L36&lt;0</formula>
    </cfRule>
  </conditionalFormatting>
  <conditionalFormatting sqref="K35">
    <cfRule type="expression" priority="8" aboveAverage="0" equalAverage="0" bottom="0" percent="0" rank="0" text="" dxfId="719">
      <formula>L35&gt;0</formula>
    </cfRule>
    <cfRule type="expression" priority="9" aboveAverage="0" equalAverage="0" bottom="0" percent="0" rank="0" text="" dxfId="720">
      <formula>L35&lt;0</formula>
    </cfRule>
  </conditionalFormatting>
  <conditionalFormatting sqref="K34">
    <cfRule type="expression" priority="10" aboveAverage="0" equalAverage="0" bottom="0" percent="0" rank="0" text="" dxfId="721">
      <formula>L34&gt;0</formula>
    </cfRule>
    <cfRule type="expression" priority="11" aboveAverage="0" equalAverage="0" bottom="0" percent="0" rank="0" text="" dxfId="722">
      <formula>L34&lt;0</formula>
    </cfRule>
  </conditionalFormatting>
  <conditionalFormatting sqref="K33">
    <cfRule type="expression" priority="12" aboveAverage="0" equalAverage="0" bottom="0" percent="0" rank="0" text="" dxfId="723">
      <formula>L33&gt;0</formula>
    </cfRule>
    <cfRule type="expression" priority="13" aboveAverage="0" equalAverage="0" bottom="0" percent="0" rank="0" text="" dxfId="724">
      <formula>L33&lt;0</formula>
    </cfRule>
  </conditionalFormatting>
  <conditionalFormatting sqref="K32">
    <cfRule type="expression" priority="14" aboveAverage="0" equalAverage="0" bottom="0" percent="0" rank="0" text="" dxfId="725">
      <formula>L32&gt;0</formula>
    </cfRule>
    <cfRule type="expression" priority="15" aboveAverage="0" equalAverage="0" bottom="0" percent="0" rank="0" text="" dxfId="726">
      <formula>L32&lt;0</formula>
    </cfRule>
  </conditionalFormatting>
  <conditionalFormatting sqref="K31">
    <cfRule type="expression" priority="16" aboveAverage="0" equalAverage="0" bottom="0" percent="0" rank="0" text="" dxfId="727">
      <formula>L31&gt;0</formula>
    </cfRule>
    <cfRule type="expression" priority="17" aboveAverage="0" equalAverage="0" bottom="0" percent="0" rank="0" text="" dxfId="728">
      <formula>L31&lt;0</formula>
    </cfRule>
  </conditionalFormatting>
  <conditionalFormatting sqref="K30">
    <cfRule type="expression" priority="18" aboveAverage="0" equalAverage="0" bottom="0" percent="0" rank="0" text="" dxfId="729">
      <formula>L30&gt;0</formula>
    </cfRule>
    <cfRule type="expression" priority="19" aboveAverage="0" equalAverage="0" bottom="0" percent="0" rank="0" text="" dxfId="730">
      <formula>L30&lt;0</formula>
    </cfRule>
  </conditionalFormatting>
  <conditionalFormatting sqref="K29">
    <cfRule type="expression" priority="20" aboveAverage="0" equalAverage="0" bottom="0" percent="0" rank="0" text="" dxfId="731">
      <formula>L29&gt;0</formula>
    </cfRule>
    <cfRule type="expression" priority="21" aboveAverage="0" equalAverage="0" bottom="0" percent="0" rank="0" text="" dxfId="732">
      <formula>L29&lt;0</formula>
    </cfRule>
  </conditionalFormatting>
  <conditionalFormatting sqref="K28">
    <cfRule type="expression" priority="22" aboveAverage="0" equalAverage="0" bottom="0" percent="0" rank="0" text="" dxfId="733">
      <formula>L28&gt;0</formula>
    </cfRule>
    <cfRule type="expression" priority="23" aboveAverage="0" equalAverage="0" bottom="0" percent="0" rank="0" text="" dxfId="734">
      <formula>L28&lt;0</formula>
    </cfRule>
  </conditionalFormatting>
  <conditionalFormatting sqref="K27">
    <cfRule type="expression" priority="24" aboveAverage="0" equalAverage="0" bottom="0" percent="0" rank="0" text="" dxfId="735">
      <formula>L27&gt;0</formula>
    </cfRule>
    <cfRule type="expression" priority="25" aboveAverage="0" equalAverage="0" bottom="0" percent="0" rank="0" text="" dxfId="736">
      <formula>L27&lt;0</formula>
    </cfRule>
  </conditionalFormatting>
  <conditionalFormatting sqref="K26">
    <cfRule type="expression" priority="26" aboveAverage="0" equalAverage="0" bottom="0" percent="0" rank="0" text="" dxfId="737">
      <formula>L26&gt;0</formula>
    </cfRule>
    <cfRule type="expression" priority="27" aboveAverage="0" equalAverage="0" bottom="0" percent="0" rank="0" text="" dxfId="738">
      <formula>L26&lt;0</formula>
    </cfRule>
  </conditionalFormatting>
  <conditionalFormatting sqref="K25">
    <cfRule type="expression" priority="28" aboveAverage="0" equalAverage="0" bottom="0" percent="0" rank="0" text="" dxfId="739">
      <formula>L25&gt;0</formula>
    </cfRule>
    <cfRule type="expression" priority="29" aboveAverage="0" equalAverage="0" bottom="0" percent="0" rank="0" text="" dxfId="740">
      <formula>L25&lt;0</formula>
    </cfRule>
  </conditionalFormatting>
  <conditionalFormatting sqref="K24">
    <cfRule type="expression" priority="30" aboveAverage="0" equalAverage="0" bottom="0" percent="0" rank="0" text="" dxfId="741">
      <formula>L24&gt;0</formula>
    </cfRule>
    <cfRule type="expression" priority="31" aboveAverage="0" equalAverage="0" bottom="0" percent="0" rank="0" text="" dxfId="742">
      <formula>L24&lt;0</formula>
    </cfRule>
  </conditionalFormatting>
  <conditionalFormatting sqref="K23">
    <cfRule type="expression" priority="32" aboveAverage="0" equalAverage="0" bottom="0" percent="0" rank="0" text="" dxfId="743">
      <formula>L23&gt;0</formula>
    </cfRule>
    <cfRule type="expression" priority="33" aboveAverage="0" equalAverage="0" bottom="0" percent="0" rank="0" text="" dxfId="744">
      <formula>L23&lt;0</formula>
    </cfRule>
  </conditionalFormatting>
  <conditionalFormatting sqref="K22">
    <cfRule type="expression" priority="34" aboveAverage="0" equalAverage="0" bottom="0" percent="0" rank="0" text="" dxfId="745">
      <formula>L22&gt;0</formula>
    </cfRule>
    <cfRule type="expression" priority="35" aboveAverage="0" equalAverage="0" bottom="0" percent="0" rank="0" text="" dxfId="746">
      <formula>L22&lt;0</formula>
    </cfRule>
  </conditionalFormatting>
  <conditionalFormatting sqref="K21">
    <cfRule type="expression" priority="36" aboveAverage="0" equalAverage="0" bottom="0" percent="0" rank="0" text="" dxfId="747">
      <formula>L21&gt;0</formula>
    </cfRule>
    <cfRule type="expression" priority="37" aboveAverage="0" equalAverage="0" bottom="0" percent="0" rank="0" text="" dxfId="748">
      <formula>L21&lt;0</formula>
    </cfRule>
  </conditionalFormatting>
  <conditionalFormatting sqref="K20">
    <cfRule type="expression" priority="38" aboveAverage="0" equalAverage="0" bottom="0" percent="0" rank="0" text="" dxfId="749">
      <formula>L20&gt;0</formula>
    </cfRule>
    <cfRule type="expression" priority="39" aboveAverage="0" equalAverage="0" bottom="0" percent="0" rank="0" text="" dxfId="750">
      <formula>L20&lt;0</formula>
    </cfRule>
  </conditionalFormatting>
  <conditionalFormatting sqref="K19">
    <cfRule type="expression" priority="40" aboveAverage="0" equalAverage="0" bottom="0" percent="0" rank="0" text="" dxfId="751">
      <formula>L19&gt;0</formula>
    </cfRule>
    <cfRule type="expression" priority="41" aboveAverage="0" equalAverage="0" bottom="0" percent="0" rank="0" text="" dxfId="752">
      <formula>L19&lt;0</formula>
    </cfRule>
  </conditionalFormatting>
  <conditionalFormatting sqref="K17:K18">
    <cfRule type="expression" priority="42" aboveAverage="0" equalAverage="0" bottom="0" percent="0" rank="0" text="" dxfId="753">
      <formula>L17&gt;0</formula>
    </cfRule>
    <cfRule type="expression" priority="43" aboveAverage="0" equalAverage="0" bottom="0" percent="0" rank="0" text="" dxfId="754">
      <formula>L17&lt;0</formula>
    </cfRule>
  </conditionalFormatting>
  <conditionalFormatting sqref="K16">
    <cfRule type="expression" priority="44" aboveAverage="0" equalAverage="0" bottom="0" percent="0" rank="0" text="" dxfId="755">
      <formula>L16&gt;0</formula>
    </cfRule>
    <cfRule type="expression" priority="45" aboveAverage="0" equalAverage="0" bottom="0" percent="0" rank="0" text="" dxfId="756">
      <formula>L16&lt;0</formula>
    </cfRule>
  </conditionalFormatting>
  <conditionalFormatting sqref="K15">
    <cfRule type="expression" priority="46" aboveAverage="0" equalAverage="0" bottom="0" percent="0" rank="0" text="" dxfId="757">
      <formula>L15&gt;0</formula>
    </cfRule>
    <cfRule type="expression" priority="47" aboveAverage="0" equalAverage="0" bottom="0" percent="0" rank="0" text="" dxfId="758">
      <formula>L15&lt;0</formula>
    </cfRule>
  </conditionalFormatting>
  <conditionalFormatting sqref="K14">
    <cfRule type="expression" priority="48" aboveAverage="0" equalAverage="0" bottom="0" percent="0" rank="0" text="" dxfId="759">
      <formula>L14&gt;0</formula>
    </cfRule>
    <cfRule type="expression" priority="49" aboveAverage="0" equalAverage="0" bottom="0" percent="0" rank="0" text="" dxfId="760">
      <formula>L14&lt;0</formula>
    </cfRule>
  </conditionalFormatting>
  <conditionalFormatting sqref="K13">
    <cfRule type="expression" priority="50" aboveAverage="0" equalAverage="0" bottom="0" percent="0" rank="0" text="" dxfId="761">
      <formula>L13&gt;0</formula>
    </cfRule>
    <cfRule type="expression" priority="51" aboveAverage="0" equalAverage="0" bottom="0" percent="0" rank="0" text="" dxfId="762">
      <formula>L13&lt;0</formula>
    </cfRule>
  </conditionalFormatting>
  <conditionalFormatting sqref="K12">
    <cfRule type="expression" priority="52" aboveAverage="0" equalAverage="0" bottom="0" percent="0" rank="0" text="" dxfId="763">
      <formula>L12&gt;0</formula>
    </cfRule>
    <cfRule type="expression" priority="53" aboveAverage="0" equalAverage="0" bottom="0" percent="0" rank="0" text="" dxfId="764">
      <formula>L12&lt;0</formula>
    </cfRule>
  </conditionalFormatting>
  <conditionalFormatting sqref="K11">
    <cfRule type="expression" priority="54" aboveAverage="0" equalAverage="0" bottom="0" percent="0" rank="0" text="" dxfId="765">
      <formula>L11&gt;0</formula>
    </cfRule>
    <cfRule type="expression" priority="55" aboveAverage="0" equalAverage="0" bottom="0" percent="0" rank="0" text="" dxfId="766">
      <formula>L11&lt;0</formula>
    </cfRule>
  </conditionalFormatting>
  <conditionalFormatting sqref="K10">
    <cfRule type="expression" priority="56" aboveAverage="0" equalAverage="0" bottom="0" percent="0" rank="0" text="" dxfId="767">
      <formula>L10&gt;0</formula>
    </cfRule>
    <cfRule type="expression" priority="57" aboveAverage="0" equalAverage="0" bottom="0" percent="0" rank="0" text="" dxfId="768">
      <formula>L10&lt;0</formula>
    </cfRule>
  </conditionalFormatting>
  <conditionalFormatting sqref="K9">
    <cfRule type="expression" priority="58" aboveAverage="0" equalAverage="0" bottom="0" percent="0" rank="0" text="" dxfId="769">
      <formula>L9&gt;0</formula>
    </cfRule>
    <cfRule type="expression" priority="59" aboveAverage="0" equalAverage="0" bottom="0" percent="0" rank="0" text="" dxfId="770">
      <formula>L9&lt;0</formula>
    </cfRule>
  </conditionalFormatting>
  <conditionalFormatting sqref="K8">
    <cfRule type="expression" priority="60" aboveAverage="0" equalAverage="0" bottom="0" percent="0" rank="0" text="" dxfId="771">
      <formula>L8&gt;0</formula>
    </cfRule>
    <cfRule type="expression" priority="61" aboveAverage="0" equalAverage="0" bottom="0" percent="0" rank="0" text="" dxfId="772">
      <formula>L8&lt;0</formula>
    </cfRule>
  </conditionalFormatting>
  <conditionalFormatting sqref="K7">
    <cfRule type="expression" priority="62" aboveAverage="0" equalAverage="0" bottom="0" percent="0" rank="0" text="" dxfId="773">
      <formula>L7&gt;0</formula>
    </cfRule>
    <cfRule type="expression" priority="63" aboveAverage="0" equalAverage="0" bottom="0" percent="0" rank="0" text="" dxfId="774">
      <formula>L7&lt;0</formula>
    </cfRule>
  </conditionalFormatting>
  <conditionalFormatting sqref="K6">
    <cfRule type="expression" priority="64" aboveAverage="0" equalAverage="0" bottom="0" percent="0" rank="0" text="" dxfId="775">
      <formula>L6&gt;0</formula>
    </cfRule>
    <cfRule type="expression" priority="65" aboveAverage="0" equalAverage="0" bottom="0" percent="0" rank="0" text="" dxfId="776">
      <formula>L6&lt;0</formula>
    </cfRule>
  </conditionalFormatting>
  <conditionalFormatting sqref="K5">
    <cfRule type="expression" priority="66" aboveAverage="0" equalAverage="0" bottom="0" percent="0" rank="0" text="" dxfId="777">
      <formula>L5&gt;0</formula>
    </cfRule>
    <cfRule type="expression" priority="67" aboveAverage="0" equalAverage="0" bottom="0" percent="0" rank="0" text="" dxfId="778">
      <formula>L5&lt;0</formula>
    </cfRule>
  </conditionalFormatting>
  <conditionalFormatting sqref="K41:K42">
    <cfRule type="expression" priority="68" aboveAverage="0" equalAverage="0" bottom="0" percent="0" rank="0" text="" dxfId="779">
      <formula>L45&lt;0</formula>
    </cfRule>
    <cfRule type="expression" priority="69" aboveAverage="0" equalAverage="0" bottom="0" percent="0" rank="0" text="" dxfId="780">
      <formula>L45&gt;0</formula>
    </cfRule>
  </conditionalFormatting>
  <conditionalFormatting sqref="K39">
    <cfRule type="expression" priority="70" aboveAverage="0" equalAverage="0" bottom="0" percent="0" rank="0" text="" dxfId="781">
      <formula>L44&lt;0</formula>
    </cfRule>
    <cfRule type="expression" priority="71" aboveAverage="0" equalAverage="0" bottom="0" percent="0" rank="0" text="" dxfId="782">
      <formula>L44&gt;0</formula>
    </cfRule>
  </conditionalFormatting>
  <conditionalFormatting sqref="K38">
    <cfRule type="expression" priority="72" aboveAverage="0" equalAverage="0" bottom="0" percent="0" rank="0" text="" dxfId="783">
      <formula>L43&lt;0</formula>
    </cfRule>
    <cfRule type="expression" priority="73" aboveAverage="0" equalAverage="0" bottom="0" percent="0" rank="0" text="" dxfId="784">
      <formula>L43&gt;0</formula>
    </cfRule>
  </conditionalFormatting>
  <conditionalFormatting sqref="L30">
    <cfRule type="cellIs" priority="74" operator="lessThan" aboveAverage="0" equalAverage="0" bottom="0" percent="0" rank="0" text="" dxfId="785">
      <formula>0</formula>
    </cfRule>
    <cfRule type="cellIs" priority="75" operator="greaterThan" aboveAverage="0" equalAverage="0" bottom="0" percent="0" rank="0" text="" dxfId="786">
      <formula>0</formula>
    </cfRule>
  </conditionalFormatting>
  <conditionalFormatting sqref="L29">
    <cfRule type="cellIs" priority="76" operator="lessThan" aboveAverage="0" equalAverage="0" bottom="0" percent="0" rank="0" text="" dxfId="787">
      <formula>0</formula>
    </cfRule>
    <cfRule type="cellIs" priority="77" operator="greaterThan" aboveAverage="0" equalAverage="0" bottom="0" percent="0" rank="0" text="" dxfId="788">
      <formula>0</formula>
    </cfRule>
  </conditionalFormatting>
  <conditionalFormatting sqref="L28">
    <cfRule type="cellIs" priority="78" operator="lessThan" aboveAverage="0" equalAverage="0" bottom="0" percent="0" rank="0" text="" dxfId="789">
      <formula>0</formula>
    </cfRule>
    <cfRule type="cellIs" priority="79" operator="greaterThan" aboveAverage="0" equalAverage="0" bottom="0" percent="0" rank="0" text="" dxfId="790">
      <formula>0</formula>
    </cfRule>
  </conditionalFormatting>
  <conditionalFormatting sqref="L27">
    <cfRule type="cellIs" priority="80" operator="lessThan" aboveAverage="0" equalAverage="0" bottom="0" percent="0" rank="0" text="" dxfId="791">
      <formula>0</formula>
    </cfRule>
    <cfRule type="cellIs" priority="81" operator="greaterThan" aboveAverage="0" equalAverage="0" bottom="0" percent="0" rank="0" text="" dxfId="792">
      <formula>0</formula>
    </cfRule>
  </conditionalFormatting>
  <conditionalFormatting sqref="L26">
    <cfRule type="cellIs" priority="82" operator="lessThan" aboveAverage="0" equalAverage="0" bottom="0" percent="0" rank="0" text="" dxfId="793">
      <formula>0</formula>
    </cfRule>
    <cfRule type="cellIs" priority="83" operator="greaterThan" aboveAverage="0" equalAverage="0" bottom="0" percent="0" rank="0" text="" dxfId="794">
      <formula>0</formula>
    </cfRule>
  </conditionalFormatting>
  <conditionalFormatting sqref="L25">
    <cfRule type="cellIs" priority="84" operator="lessThan" aboveAverage="0" equalAverage="0" bottom="0" percent="0" rank="0" text="" dxfId="795">
      <formula>0</formula>
    </cfRule>
    <cfRule type="cellIs" priority="85" operator="greaterThan" aboveAverage="0" equalAverage="0" bottom="0" percent="0" rank="0" text="" dxfId="796">
      <formula>0</formula>
    </cfRule>
  </conditionalFormatting>
  <conditionalFormatting sqref="L6:L39 L42:L44">
    <cfRule type="cellIs" priority="86" operator="greaterThan" aboveAverage="0" equalAverage="0" bottom="0" percent="0" rank="0" text="" dxfId="797">
      <formula>0</formula>
    </cfRule>
    <cfRule type="cellIs" priority="87" operator="lessThan" aboveAverage="0" equalAverage="0" bottom="0" percent="0" rank="0" text="" dxfId="798">
      <formula>0</formula>
    </cfRule>
  </conditionalFormatting>
  <conditionalFormatting sqref="L44">
    <cfRule type="cellIs" priority="88" operator="greaterThan" aboveAverage="0" equalAverage="0" bottom="0" percent="0" rank="0" text="" dxfId="799">
      <formula>0</formula>
    </cfRule>
    <cfRule type="expression" priority="89" aboveAverage="0" equalAverage="0" bottom="0" percent="0" rank="0" text="" dxfId="800">
      <formula>$L$5:$L$43&lt;0</formula>
    </cfRule>
  </conditionalFormatting>
  <conditionalFormatting sqref="L24">
    <cfRule type="cellIs" priority="90" operator="lessThan" aboveAverage="0" equalAverage="0" bottom="0" percent="0" rank="0" text="" dxfId="95">
      <formula>0</formula>
    </cfRule>
    <cfRule type="cellIs" priority="91" operator="greaterThan" aboveAverage="0" equalAverage="0" bottom="0" percent="0" rank="0" text="" dxfId="96">
      <formula>0</formula>
    </cfRule>
  </conditionalFormatting>
  <conditionalFormatting sqref="L23">
    <cfRule type="cellIs" priority="92" operator="lessThan" aboveAverage="0" equalAverage="0" bottom="0" percent="0" rank="0" text="" dxfId="97">
      <formula>0</formula>
    </cfRule>
    <cfRule type="cellIs" priority="93" operator="greaterThan" aboveAverage="0" equalAverage="0" bottom="0" percent="0" rank="0" text="" dxfId="98">
      <formula>0</formula>
    </cfRule>
  </conditionalFormatting>
  <conditionalFormatting sqref="L22">
    <cfRule type="cellIs" priority="94" operator="lessThan" aboveAverage="0" equalAverage="0" bottom="0" percent="0" rank="0" text="" dxfId="99">
      <formula>0</formula>
    </cfRule>
    <cfRule type="cellIs" priority="95" operator="greaterThan" aboveAverage="0" equalAverage="0" bottom="0" percent="0" rank="0" text="" dxfId="100">
      <formula>0</formula>
    </cfRule>
  </conditionalFormatting>
  <conditionalFormatting sqref="L21">
    <cfRule type="cellIs" priority="96" operator="lessThan" aboveAverage="0" equalAverage="0" bottom="0" percent="0" rank="0" text="" dxfId="101">
      <formula>0</formula>
    </cfRule>
    <cfRule type="cellIs" priority="97" operator="greaterThan" aboveAverage="0" equalAverage="0" bottom="0" percent="0" rank="0" text="" dxfId="102">
      <formula>0</formula>
    </cfRule>
  </conditionalFormatting>
  <conditionalFormatting sqref="L20">
    <cfRule type="cellIs" priority="98" operator="lessThan" aboveAverage="0" equalAverage="0" bottom="0" percent="0" rank="0" text="" dxfId="103">
      <formula>0</formula>
    </cfRule>
    <cfRule type="cellIs" priority="99" operator="greaterThan" aboveAverage="0" equalAverage="0" bottom="0" percent="0" rank="0" text="" dxfId="104">
      <formula>0</formula>
    </cfRule>
  </conditionalFormatting>
  <conditionalFormatting sqref="L13">
    <cfRule type="cellIs" priority="100" operator="lessThan" aboveAverage="0" equalAverage="0" bottom="0" percent="0" rank="0" text="" dxfId="105">
      <formula>0</formula>
    </cfRule>
    <cfRule type="cellIs" priority="101" operator="greaterThan" aboveAverage="0" equalAverage="0" bottom="0" percent="0" rank="0" text="" dxfId="106">
      <formula>0</formula>
    </cfRule>
  </conditionalFormatting>
  <conditionalFormatting sqref="L12">
    <cfRule type="cellIs" priority="102" operator="lessThan" aboveAverage="0" equalAverage="0" bottom="0" percent="0" rank="0" text="" dxfId="107">
      <formula>0</formula>
    </cfRule>
    <cfRule type="cellIs" priority="103" operator="greaterThan" aboveAverage="0" equalAverage="0" bottom="0" percent="0" rank="0" text="" dxfId="108">
      <formula>0</formula>
    </cfRule>
  </conditionalFormatting>
  <conditionalFormatting sqref="L11">
    <cfRule type="cellIs" priority="104" operator="lessThan" aboveAverage="0" equalAverage="0" bottom="0" percent="0" rank="0" text="" dxfId="109">
      <formula>0</formula>
    </cfRule>
    <cfRule type="cellIs" priority="105" operator="greaterThan" aboveAverage="0" equalAverage="0" bottom="0" percent="0" rank="0" text="" dxfId="110">
      <formula>0</formula>
    </cfRule>
  </conditionalFormatting>
  <conditionalFormatting sqref="L10">
    <cfRule type="cellIs" priority="106" operator="lessThan" aboveAverage="0" equalAverage="0" bottom="0" percent="0" rank="0" text="" dxfId="111">
      <formula>0</formula>
    </cfRule>
    <cfRule type="cellIs" priority="107" operator="greaterThan" aboveAverage="0" equalAverage="0" bottom="0" percent="0" rank="0" text="" dxfId="112">
      <formula>0</formula>
    </cfRule>
  </conditionalFormatting>
  <conditionalFormatting sqref="L9">
    <cfRule type="cellIs" priority="108" operator="lessThan" aboveAverage="0" equalAverage="0" bottom="0" percent="0" rank="0" text="" dxfId="113">
      <formula>0</formula>
    </cfRule>
    <cfRule type="cellIs" priority="109" operator="greaterThan" aboveAverage="0" equalAverage="0" bottom="0" percent="0" rank="0" text="" dxfId="114">
      <formula>0</formula>
    </cfRule>
  </conditionalFormatting>
  <conditionalFormatting sqref="L8">
    <cfRule type="cellIs" priority="110" operator="lessThan" aboveAverage="0" equalAverage="0" bottom="0" percent="0" rank="0" text="" dxfId="115">
      <formula>0</formula>
    </cfRule>
    <cfRule type="cellIs" priority="111" operator="greaterThan" aboveAverage="0" equalAverage="0" bottom="0" percent="0" rank="0" text="" dxfId="116">
      <formula>0</formula>
    </cfRule>
  </conditionalFormatting>
  <conditionalFormatting sqref="L7">
    <cfRule type="cellIs" priority="112" operator="lessThan" aboveAverage="0" equalAverage="0" bottom="0" percent="0" rank="0" text="" dxfId="117">
      <formula>0</formula>
    </cfRule>
    <cfRule type="cellIs" priority="113" operator="greaterThan" aboveAverage="0" equalAverage="0" bottom="0" percent="0" rank="0" text="" dxfId="118">
      <formula>0</formula>
    </cfRule>
  </conditionalFormatting>
  <conditionalFormatting sqref="L6">
    <cfRule type="cellIs" priority="114" operator="lessThan" aboveAverage="0" equalAverage="0" bottom="0" percent="0" rank="0" text="" dxfId="119">
      <formula>0</formula>
    </cfRule>
    <cfRule type="cellIs" priority="115" operator="greaterThan" aboveAverage="0" equalAverage="0" bottom="0" percent="0" rank="0" text="" dxfId="120">
      <formula>0</formula>
    </cfRule>
  </conditionalFormatting>
  <conditionalFormatting sqref="L5">
    <cfRule type="cellIs" priority="116" operator="lessThan" aboveAverage="0" equalAverage="0" bottom="0" percent="0" rank="0" text="" dxfId="121">
      <formula>0</formula>
    </cfRule>
    <cfRule type="cellIs" priority="117" operator="greaterThan" aboveAverage="0" equalAverage="0" bottom="0" percent="0" rank="0" text="" dxfId="122">
      <formula>0</formula>
    </cfRule>
  </conditionalFormatting>
  <conditionalFormatting sqref="L5:L24">
    <cfRule type="cellIs" priority="118" operator="greaterThan" aboveAverage="0" equalAverage="0" bottom="0" percent="0" rank="0" text="" dxfId="123">
      <formula>0</formula>
    </cfRule>
    <cfRule type="cellIs" priority="119" operator="lessThan" aboveAverage="0" equalAverage="0" bottom="0" percent="0" rank="0" text="" dxfId="124">
      <formula>0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0485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8" activeCellId="0" sqref="D38"/>
    </sheetView>
  </sheetViews>
  <sheetFormatPr defaultColWidth="11.4453125" defaultRowHeight="13.8" zeroHeight="false" outlineLevelRow="0" outlineLevelCol="0"/>
  <cols>
    <col collapsed="false" customWidth="true" hidden="false" outlineLevel="0" max="1" min="1" style="1" width="13.88"/>
    <col collapsed="false" customWidth="false" hidden="false" outlineLevel="0" max="3" min="2" style="1" width="11.44"/>
    <col collapsed="false" customWidth="true" hidden="false" outlineLevel="0" max="4" min="4" style="1" width="25.88"/>
    <col collapsed="false" customWidth="true" hidden="false" outlineLevel="0" max="5" min="5" style="1" width="12.88"/>
    <col collapsed="false" customWidth="true" hidden="false" outlineLevel="0" max="6" min="6" style="1" width="8.88"/>
    <col collapsed="false" customWidth="false" hidden="false" outlineLevel="0" max="7" min="7" style="1" width="11.44"/>
    <col collapsed="false" customWidth="true" hidden="false" outlineLevel="0" max="8" min="8" style="1" width="15.56"/>
    <col collapsed="false" customWidth="false" hidden="false" outlineLevel="0" max="10" min="9" style="1" width="11.44"/>
    <col collapsed="false" customWidth="true" hidden="false" outlineLevel="0" max="11" min="11" style="1" width="25.67"/>
    <col collapsed="false" customWidth="true" hidden="false" outlineLevel="0" max="12" min="12" style="1" width="11.56"/>
    <col collapsed="false" customWidth="false" hidden="false" outlineLevel="0" max="13" min="13" style="1" width="11.44"/>
    <col collapsed="false" customWidth="true" hidden="false" outlineLevel="0" max="14" min="14" style="1" width="25.56"/>
    <col collapsed="false" customWidth="false" hidden="false" outlineLevel="0" max="16384" min="15" style="1" width="11.44"/>
  </cols>
  <sheetData>
    <row r="1" customFormat="false" ht="14.25" hidden="false" customHeight="false" outlineLevel="0" collapsed="false">
      <c r="A1" s="2" t="s">
        <v>0</v>
      </c>
      <c r="B1" s="3"/>
      <c r="D1" s="4" t="s">
        <v>1</v>
      </c>
      <c r="E1" s="3" t="n">
        <f aca="false">SUM(C5:C39)+SUM(B5:B39)-SUMIF(Tableau325[Raison],"Salaire",Tableau325[Crédit])</f>
        <v>0</v>
      </c>
      <c r="F1" s="5"/>
      <c r="G1" s="6"/>
      <c r="H1" s="4" t="s">
        <v>52</v>
      </c>
      <c r="I1" s="3" t="n">
        <f aca="false">IF(SUMIF(Tableau325[Raison],"Salaire",Tableau325[Crédit])=0,2200,SUMIF(Tableau325[Raison],"Salaire",Tableau325[Crédit]))</f>
        <v>2200</v>
      </c>
    </row>
    <row r="2" customFormat="false" ht="15" hidden="false" customHeight="false" outlineLevel="0" collapsed="false">
      <c r="A2" s="2" t="s">
        <v>3</v>
      </c>
      <c r="B2" s="3"/>
      <c r="D2" s="4" t="s">
        <v>4</v>
      </c>
      <c r="E2" s="3" t="n">
        <f aca="false">I1+E1</f>
        <v>2200</v>
      </c>
      <c r="F2" s="7"/>
      <c r="G2" s="8" t="n">
        <f aca="false">(100/I1)*E2/100</f>
        <v>1</v>
      </c>
    </row>
    <row r="3" customFormat="false" ht="14.25" hidden="false" customHeight="false" outlineLevel="0" collapsed="false">
      <c r="F3" s="9"/>
    </row>
    <row r="4" customFormat="false" ht="13.8" hidden="false" customHeight="false" outlineLevel="0" collapsed="false">
      <c r="A4" s="75" t="s">
        <v>5</v>
      </c>
      <c r="B4" s="76" t="s">
        <v>6</v>
      </c>
      <c r="C4" s="77" t="s">
        <v>7</v>
      </c>
      <c r="D4" s="78" t="s">
        <v>8</v>
      </c>
      <c r="E4" s="79" t="s">
        <v>9</v>
      </c>
      <c r="F4" s="80" t="s">
        <v>10</v>
      </c>
      <c r="K4" s="84" t="s">
        <v>11</v>
      </c>
      <c r="L4" s="17" t="s">
        <v>12</v>
      </c>
    </row>
    <row r="5" customFormat="false" ht="13.8" hidden="false" customHeight="false" outlineLevel="0" collapsed="false">
      <c r="A5" s="28"/>
      <c r="B5" s="19"/>
      <c r="C5" s="20"/>
      <c r="D5" s="21"/>
      <c r="E5" s="22" t="str">
        <f aca="false">IF(F5="X",B1+C5+B5,"")</f>
        <v/>
      </c>
      <c r="F5" s="23"/>
      <c r="K5" s="85"/>
      <c r="L5" s="25" t="n">
        <f aca="false">IF(K5&lt;&gt;"",SUMIF($D$5:$D$55,K5,$C$5:$C$55)+SUMIF($D$5:$D$55,K5,$B$5:$B$55))</f>
        <v>0</v>
      </c>
    </row>
    <row r="6" customFormat="false" ht="13.8" hidden="false" customHeight="false" outlineLevel="0" collapsed="false">
      <c r="A6" s="28"/>
      <c r="B6" s="19"/>
      <c r="C6" s="20"/>
      <c r="D6" s="21"/>
      <c r="E6" s="22" t="str">
        <f aca="false">IF(F6="X",E5+C6+B6,"")</f>
        <v/>
      </c>
      <c r="F6" s="23"/>
      <c r="K6" s="86"/>
      <c r="L6" s="25" t="str">
        <f aca="false">IF(K6&lt;&gt;"",SUMIF($D$5:$D$55,K6,$C$5:$C$55)+SUMIF($D$5:$D$55,K6,$B$5:$B$55),"")</f>
        <v/>
      </c>
    </row>
    <row r="7" customFormat="false" ht="13.8" hidden="false" customHeight="false" outlineLevel="0" collapsed="false">
      <c r="A7" s="28"/>
      <c r="B7" s="19"/>
      <c r="C7" s="20"/>
      <c r="D7" s="21"/>
      <c r="E7" s="22" t="str">
        <f aca="false">IF(F7="X",E6+C7+B7,"")</f>
        <v/>
      </c>
      <c r="F7" s="23"/>
      <c r="K7" s="86"/>
      <c r="L7" s="25" t="str">
        <f aca="false">IF(K7&lt;&gt;"",SUMIF($D$5:$D$55,K7,$C$5:$C$55)+SUMIF($D$5:$D$55,K7,$B$5:$B$55),"")</f>
        <v/>
      </c>
    </row>
    <row r="8" customFormat="false" ht="13.8" hidden="false" customHeight="false" outlineLevel="0" collapsed="false">
      <c r="A8" s="28"/>
      <c r="B8" s="19"/>
      <c r="C8" s="20"/>
      <c r="D8" s="21"/>
      <c r="E8" s="22" t="str">
        <f aca="false">IF(F8="X",E7+C8+B8,"")</f>
        <v/>
      </c>
      <c r="F8" s="23"/>
      <c r="K8" s="86"/>
      <c r="L8" s="25" t="str">
        <f aca="false">IF(K8&lt;&gt;"",SUMIF($D$5:$D$55,K8,$C$5:$C$55)+SUMIF($D$5:$D$55,K8,$B$5:$B$55),"")</f>
        <v/>
      </c>
    </row>
    <row r="9" customFormat="false" ht="13.8" hidden="false" customHeight="false" outlineLevel="0" collapsed="false">
      <c r="A9" s="28"/>
      <c r="B9" s="19"/>
      <c r="C9" s="20"/>
      <c r="D9" s="21"/>
      <c r="E9" s="22" t="str">
        <f aca="false">IF(F9="X",E8+C9+B9,"")</f>
        <v/>
      </c>
      <c r="F9" s="23"/>
      <c r="K9" s="86"/>
      <c r="L9" s="25" t="str">
        <f aca="false">IF(K9&lt;&gt;"",SUMIF($D$5:$D$55,K9,$C$5:$C$55)+SUMIF($D$5:$D$55,K9,$B$5:$B$55),"")</f>
        <v/>
      </c>
    </row>
    <row r="10" customFormat="false" ht="13.8" hidden="false" customHeight="false" outlineLevel="0" collapsed="false">
      <c r="A10" s="28"/>
      <c r="B10" s="19"/>
      <c r="C10" s="20"/>
      <c r="D10" s="21"/>
      <c r="E10" s="22" t="str">
        <f aca="false">IF(F10="X",E9+C10+B10,"")</f>
        <v/>
      </c>
      <c r="F10" s="23"/>
      <c r="K10" s="86"/>
      <c r="L10" s="25" t="str">
        <f aca="false">IF(K10&lt;&gt;"",SUMIF($D$5:$D$55,K10,$C$5:$C$55)+SUMIF($D$5:$D$55,K10,$B$5:$B$55),"")</f>
        <v/>
      </c>
    </row>
    <row r="11" customFormat="false" ht="13.8" hidden="false" customHeight="false" outlineLevel="0" collapsed="false">
      <c r="A11" s="28"/>
      <c r="B11" s="19"/>
      <c r="C11" s="20"/>
      <c r="D11" s="21"/>
      <c r="E11" s="22" t="str">
        <f aca="false">IF(F11="X",E10+C11+B11,"")</f>
        <v/>
      </c>
      <c r="F11" s="23"/>
      <c r="K11" s="86"/>
      <c r="L11" s="25" t="str">
        <f aca="false">IF(K11&lt;&gt;"",SUMIF($D$5:$D$55,K11,$C$5:$C$55)+SUMIF($D$5:$D$55,K11,$B$5:$B$55),"")</f>
        <v/>
      </c>
    </row>
    <row r="12" customFormat="false" ht="13.8" hidden="false" customHeight="false" outlineLevel="0" collapsed="false">
      <c r="A12" s="18"/>
      <c r="B12" s="19"/>
      <c r="C12" s="31"/>
      <c r="D12" s="21"/>
      <c r="E12" s="22" t="str">
        <f aca="false">IF(F12="X",E11+C12+B12,"")</f>
        <v/>
      </c>
      <c r="F12" s="23"/>
      <c r="K12" s="86"/>
      <c r="L12" s="25" t="str">
        <f aca="false">IF(K12&lt;&gt;"",SUMIF($D$5:$D$55,K12,$C$5:$C$55)+SUMIF($D$5:$D$55,K12,$B$5:$B$55),"")</f>
        <v/>
      </c>
    </row>
    <row r="13" customFormat="false" ht="13.8" hidden="false" customHeight="false" outlineLevel="0" collapsed="false">
      <c r="A13" s="28"/>
      <c r="B13" s="19"/>
      <c r="C13" s="20"/>
      <c r="D13" s="21"/>
      <c r="E13" s="22" t="str">
        <f aca="false">IF(F13="X",E12+C13+B13,"")</f>
        <v/>
      </c>
      <c r="F13" s="23"/>
      <c r="K13" s="86"/>
      <c r="L13" s="25" t="str">
        <f aca="false">IF(K13&lt;&gt;"",SUMIF($D$5:$D$55,K13,$C$5:$C$55)+SUMIF($D$5:$D$55,K13,$B$5:$B$55),"")</f>
        <v/>
      </c>
    </row>
    <row r="14" customFormat="false" ht="13.8" hidden="false" customHeight="false" outlineLevel="0" collapsed="false">
      <c r="A14" s="28"/>
      <c r="B14" s="19"/>
      <c r="C14" s="20"/>
      <c r="D14" s="21"/>
      <c r="E14" s="22" t="str">
        <f aca="false">IF(F14="X",E13+C14+B14,"")</f>
        <v/>
      </c>
      <c r="F14" s="23"/>
      <c r="K14" s="86"/>
      <c r="L14" s="25" t="str">
        <f aca="false">IF(K14&lt;&gt;"",SUMIF($D$5:$D$55,K14,$C$5:$C$55)+SUMIF($D$5:$D$55,K14,$B$5:$B$55),"")</f>
        <v/>
      </c>
    </row>
    <row r="15" customFormat="false" ht="13.8" hidden="false" customHeight="false" outlineLevel="0" collapsed="false">
      <c r="A15" s="28"/>
      <c r="B15" s="19"/>
      <c r="C15" s="20"/>
      <c r="D15" s="21"/>
      <c r="E15" s="22" t="str">
        <f aca="false">IF(F15="X",E14+C15+B15,"")</f>
        <v/>
      </c>
      <c r="F15" s="23"/>
      <c r="K15" s="86"/>
      <c r="L15" s="25" t="str">
        <f aca="false">IF(K15&lt;&gt;"",SUMIF($D$5:$D$55,K15,$C$5:$C$55)+SUMIF($D$5:$D$55,K15,$B$5:$B$55),"")</f>
        <v/>
      </c>
    </row>
    <row r="16" customFormat="false" ht="13.8" hidden="false" customHeight="false" outlineLevel="0" collapsed="false">
      <c r="A16" s="28"/>
      <c r="B16" s="19"/>
      <c r="C16" s="20"/>
      <c r="D16" s="21"/>
      <c r="E16" s="22" t="str">
        <f aca="false">IF(F16="X",E15+C16+B16,"")</f>
        <v/>
      </c>
      <c r="F16" s="23"/>
      <c r="K16" s="86"/>
      <c r="L16" s="25" t="str">
        <f aca="false">IF(K16&lt;&gt;"",SUMIF($D$5:$D$55,K16,$C$5:$C$55)+SUMIF($D$5:$D$55,K16,$B$5:$B$55),"")</f>
        <v/>
      </c>
    </row>
    <row r="17" customFormat="false" ht="13.8" hidden="false" customHeight="false" outlineLevel="0" collapsed="false">
      <c r="A17" s="28"/>
      <c r="B17" s="19"/>
      <c r="C17" s="20"/>
      <c r="D17" s="21"/>
      <c r="E17" s="22" t="str">
        <f aca="false">IF(F17="X",E16+C17+B17,"")</f>
        <v/>
      </c>
      <c r="F17" s="23"/>
      <c r="K17" s="86"/>
      <c r="L17" s="25" t="str">
        <f aca="false">IF(K17&lt;&gt;"",SUMIF($D$5:$D$55,K17,$C$5:$C$55)+SUMIF($D$5:$D$55,K17,$B$5:$B$55),"")</f>
        <v/>
      </c>
    </row>
    <row r="18" customFormat="false" ht="13.8" hidden="false" customHeight="false" outlineLevel="0" collapsed="false">
      <c r="A18" s="28"/>
      <c r="B18" s="19"/>
      <c r="C18" s="20"/>
      <c r="D18" s="21"/>
      <c r="E18" s="22" t="str">
        <f aca="false">IF(F18="X",E17+C18+B18,"")</f>
        <v/>
      </c>
      <c r="F18" s="37"/>
      <c r="K18" s="86"/>
      <c r="L18" s="25" t="str">
        <f aca="false">IF(K18&lt;&gt;"",SUMIF($D$5:$D$55,K18,$C$5:$C$55)+SUMIF($D$5:$D$55,K18,$B$5:$B$55),"")</f>
        <v/>
      </c>
    </row>
    <row r="19" customFormat="false" ht="13.8" hidden="false" customHeight="false" outlineLevel="0" collapsed="false">
      <c r="A19" s="18"/>
      <c r="B19" s="19"/>
      <c r="C19" s="20"/>
      <c r="D19" s="21"/>
      <c r="E19" s="22" t="str">
        <f aca="false">IF(F19="X",E18+C19+B19,"")</f>
        <v/>
      </c>
      <c r="F19" s="37"/>
      <c r="K19" s="86"/>
      <c r="L19" s="25" t="str">
        <f aca="false">IF(K19&lt;&gt;"",SUMIF($D$5:$D$55,K19,$C$5:$C$55)+SUMIF($D$5:$D$55,K19,$B$5:$B$55),"")</f>
        <v/>
      </c>
    </row>
    <row r="20" customFormat="false" ht="13.8" hidden="false" customHeight="false" outlineLevel="0" collapsed="false">
      <c r="A20" s="28"/>
      <c r="B20" s="19"/>
      <c r="C20" s="20"/>
      <c r="D20" s="21"/>
      <c r="E20" s="22" t="str">
        <f aca="false">IF(F20="X",E19+C20+B20,"")</f>
        <v/>
      </c>
      <c r="F20" s="23"/>
      <c r="K20" s="86"/>
      <c r="L20" s="25" t="str">
        <f aca="false">IF(K20&lt;&gt;"",SUMIF($D$5:$D$55,K20,$C$5:$C$55)+SUMIF($D$5:$D$55,K20,$B$5:$B$55),"")</f>
        <v/>
      </c>
    </row>
    <row r="21" customFormat="false" ht="13.8" hidden="false" customHeight="false" outlineLevel="0" collapsed="false">
      <c r="A21" s="18"/>
      <c r="B21" s="19"/>
      <c r="C21" s="20"/>
      <c r="D21" s="21"/>
      <c r="E21" s="22" t="str">
        <f aca="false">IF(F21="X",E20+C21+B21,"")</f>
        <v/>
      </c>
      <c r="F21" s="23"/>
      <c r="K21" s="86"/>
      <c r="L21" s="25" t="str">
        <f aca="false">IF(K21&lt;&gt;"",SUMIF($D$5:$D$55,K21,$C$5:$C$55)+SUMIF($D$5:$D$55,K21,$B$5:$B$55),"")</f>
        <v/>
      </c>
    </row>
    <row r="22" customFormat="false" ht="13.8" hidden="false" customHeight="false" outlineLevel="0" collapsed="false">
      <c r="A22" s="28"/>
      <c r="B22" s="19"/>
      <c r="C22" s="20"/>
      <c r="D22" s="21"/>
      <c r="E22" s="22" t="str">
        <f aca="false">IF(F22="X",E21+C22+B22,"")</f>
        <v/>
      </c>
      <c r="F22" s="23"/>
      <c r="K22" s="86"/>
      <c r="L22" s="25" t="str">
        <f aca="false">IF(K22&lt;&gt;"",SUMIF($D$5:$D$55,K22,$C$5:$C$55)+SUMIF($D$5:$D$55,K22,$B$5:$B$55),"")</f>
        <v/>
      </c>
    </row>
    <row r="23" customFormat="false" ht="13.8" hidden="false" customHeight="false" outlineLevel="0" collapsed="false">
      <c r="A23" s="18"/>
      <c r="B23" s="19"/>
      <c r="C23" s="20"/>
      <c r="D23" s="21"/>
      <c r="E23" s="22" t="str">
        <f aca="false">IF(F23="X",E22+C23+B23,"")</f>
        <v/>
      </c>
      <c r="F23" s="23"/>
      <c r="K23" s="86"/>
      <c r="L23" s="25" t="str">
        <f aca="false">IF(K23&lt;&gt;"",SUMIF($D$5:$D$55,K23,$C$5:$C$55)+SUMIF($D$5:$D$55,K23,$B$5:$B$55),"")</f>
        <v/>
      </c>
    </row>
    <row r="24" customFormat="false" ht="13.8" hidden="false" customHeight="false" outlineLevel="0" collapsed="false">
      <c r="A24" s="28"/>
      <c r="B24" s="19"/>
      <c r="C24" s="20"/>
      <c r="D24" s="21"/>
      <c r="E24" s="22" t="str">
        <f aca="false">IF(F24="X",E23+C24+B24,"")</f>
        <v/>
      </c>
      <c r="F24" s="23"/>
      <c r="K24" s="86"/>
      <c r="L24" s="25" t="str">
        <f aca="false">IF(K24&lt;&gt;"",SUMIF($D$5:$D$55,K24,$C$5:$C$55)+SUMIF($D$5:$D$55,K24,$B$5:$B$55),"")</f>
        <v/>
      </c>
    </row>
    <row r="25" customFormat="false" ht="13.8" hidden="false" customHeight="false" outlineLevel="0" collapsed="false">
      <c r="A25" s="28"/>
      <c r="B25" s="19"/>
      <c r="C25" s="20"/>
      <c r="D25" s="21"/>
      <c r="E25" s="22" t="str">
        <f aca="false">IF(F25="X",E24+C25+B25,"")</f>
        <v/>
      </c>
      <c r="F25" s="23"/>
      <c r="K25" s="86"/>
      <c r="L25" s="87"/>
    </row>
    <row r="26" customFormat="false" ht="13.8" hidden="false" customHeight="false" outlineLevel="0" collapsed="false">
      <c r="A26" s="28"/>
      <c r="B26" s="19"/>
      <c r="C26" s="20"/>
      <c r="D26" s="21"/>
      <c r="E26" s="22" t="str">
        <f aca="false">IF(F26="X",E25+C26+B26,"")</f>
        <v/>
      </c>
      <c r="F26" s="23"/>
      <c r="K26" s="86"/>
      <c r="L26" s="87"/>
    </row>
    <row r="27" customFormat="false" ht="13.8" hidden="false" customHeight="false" outlineLevel="0" collapsed="false">
      <c r="A27" s="18"/>
      <c r="B27" s="19"/>
      <c r="C27" s="20"/>
      <c r="D27" s="21"/>
      <c r="E27" s="22" t="str">
        <f aca="false">IF(F27="X",E26+C27+B27,"")</f>
        <v/>
      </c>
      <c r="F27" s="23"/>
      <c r="K27" s="86"/>
      <c r="L27" s="87"/>
    </row>
    <row r="28" customFormat="false" ht="13.8" hidden="false" customHeight="false" outlineLevel="0" collapsed="false">
      <c r="A28" s="18"/>
      <c r="B28" s="19"/>
      <c r="C28" s="20"/>
      <c r="D28" s="21"/>
      <c r="E28" s="22" t="str">
        <f aca="false">IF(F28="X",E27+C28+B28,"")</f>
        <v/>
      </c>
      <c r="F28" s="23"/>
      <c r="K28" s="86"/>
      <c r="L28" s="87"/>
    </row>
    <row r="29" customFormat="false" ht="13.8" hidden="false" customHeight="false" outlineLevel="0" collapsed="false">
      <c r="A29" s="18"/>
      <c r="B29" s="19"/>
      <c r="C29" s="20"/>
      <c r="D29" s="21"/>
      <c r="E29" s="22" t="str">
        <f aca="false">IF(F29="X",E28+C29+B29,"")</f>
        <v/>
      </c>
      <c r="F29" s="23"/>
      <c r="K29" s="86"/>
      <c r="L29" s="87"/>
    </row>
    <row r="30" customFormat="false" ht="13.8" hidden="false" customHeight="false" outlineLevel="0" collapsed="false">
      <c r="A30" s="18"/>
      <c r="B30" s="19"/>
      <c r="C30" s="20"/>
      <c r="D30" s="21"/>
      <c r="E30" s="22" t="str">
        <f aca="false">IF(F30="X",E29+C30+B30,"")</f>
        <v/>
      </c>
      <c r="F30" s="23"/>
      <c r="K30" s="86"/>
      <c r="L30" s="87"/>
    </row>
    <row r="31" customFormat="false" ht="13.8" hidden="false" customHeight="false" outlineLevel="0" collapsed="false">
      <c r="A31" s="18"/>
      <c r="B31" s="19"/>
      <c r="C31" s="20"/>
      <c r="D31" s="21"/>
      <c r="E31" s="22" t="str">
        <f aca="false">IF(F31="X",E30+C31+B31,"")</f>
        <v/>
      </c>
      <c r="F31" s="23"/>
      <c r="K31" s="86"/>
      <c r="L31" s="87"/>
    </row>
    <row r="32" customFormat="false" ht="13.8" hidden="false" customHeight="false" outlineLevel="0" collapsed="false">
      <c r="A32" s="28"/>
      <c r="B32" s="19"/>
      <c r="C32" s="20"/>
      <c r="D32" s="21"/>
      <c r="E32" s="22" t="str">
        <f aca="false">IF(F32="X",E31+C32+B32,"")</f>
        <v/>
      </c>
      <c r="F32" s="23"/>
      <c r="K32" s="86"/>
      <c r="L32" s="87"/>
    </row>
    <row r="33" customFormat="false" ht="13.8" hidden="false" customHeight="false" outlineLevel="0" collapsed="false">
      <c r="A33" s="28"/>
      <c r="B33" s="19"/>
      <c r="C33" s="20"/>
      <c r="D33" s="21"/>
      <c r="E33" s="22" t="str">
        <f aca="false">IF(F33="X",E32+C33+B33,"")</f>
        <v/>
      </c>
      <c r="F33" s="23"/>
      <c r="K33" s="86"/>
      <c r="L33" s="87"/>
    </row>
    <row r="34" customFormat="false" ht="13.8" hidden="false" customHeight="false" outlineLevel="0" collapsed="false">
      <c r="A34" s="28"/>
      <c r="B34" s="19"/>
      <c r="C34" s="20"/>
      <c r="D34" s="21"/>
      <c r="E34" s="22" t="str">
        <f aca="false">IF(F34="X",E33+C34+B34,"")</f>
        <v/>
      </c>
      <c r="F34" s="23"/>
      <c r="K34" s="86"/>
      <c r="L34" s="87"/>
    </row>
    <row r="35" customFormat="false" ht="13.8" hidden="false" customHeight="false" outlineLevel="0" collapsed="false">
      <c r="A35" s="28"/>
      <c r="B35" s="19"/>
      <c r="C35" s="20"/>
      <c r="D35" s="21"/>
      <c r="E35" s="22" t="str">
        <f aca="false">IF(F35="X",E34+C35+B35,"")</f>
        <v/>
      </c>
      <c r="F35" s="23"/>
      <c r="K35" s="86"/>
      <c r="L35" s="87" t="str">
        <f aca="false">IF(Tableau732334[[#This Row],[PRATIQUE]]&lt;&gt;"",SUMIF($D$5:$D$16,K35,$C$5:$C$16)+SUMIF($D$5:$D$16,K35,$B$5:$B$16),"")</f>
        <v/>
      </c>
    </row>
    <row r="36" customFormat="false" ht="13.8" hidden="false" customHeight="false" outlineLevel="0" collapsed="false">
      <c r="A36" s="28"/>
      <c r="B36" s="19"/>
      <c r="C36" s="20"/>
      <c r="D36" s="21"/>
      <c r="E36" s="22" t="str">
        <f aca="false">IF(F36="X",E35+C36+B36,"")</f>
        <v/>
      </c>
      <c r="F36" s="23"/>
      <c r="K36" s="86"/>
      <c r="L36" s="87" t="str">
        <f aca="false">IF(Tableau732334[[#This Row],[PRATIQUE]]&lt;&gt;"",SUMIF($D$5:$D$16,K36,$C$5:$C$16)+SUMIF($D$5:$D$16,K36,$B$5:$B$16),"")</f>
        <v/>
      </c>
    </row>
    <row r="37" customFormat="false" ht="13.8" hidden="false" customHeight="false" outlineLevel="0" collapsed="false">
      <c r="A37" s="28"/>
      <c r="B37" s="19"/>
      <c r="C37" s="20"/>
      <c r="D37" s="21"/>
      <c r="E37" s="22" t="str">
        <f aca="false">IF(F37="X",E36+C37+B37,"")</f>
        <v/>
      </c>
      <c r="F37" s="23"/>
      <c r="K37" s="86"/>
      <c r="L37" s="87" t="str">
        <f aca="false">IF(Tableau732334[[#This Row],[PRATIQUE]]&lt;&gt;"",SUMIF($D$5:$D$16,K37,$C$5:$C$16)+SUMIF($D$5:$D$16,K37,$B$5:$B$16),"")</f>
        <v/>
      </c>
    </row>
    <row r="38" customFormat="false" ht="13.8" hidden="false" customHeight="false" outlineLevel="0" collapsed="false">
      <c r="A38" s="28"/>
      <c r="B38" s="19"/>
      <c r="C38" s="20"/>
      <c r="D38" s="21"/>
      <c r="E38" s="22" t="str">
        <f aca="false">IF(F38="X",E37+C38+B38,"")</f>
        <v/>
      </c>
      <c r="F38" s="23"/>
      <c r="K38" s="86"/>
      <c r="L38" s="87" t="str">
        <f aca="false">IF(Tableau732334[[#This Row],[PRATIQUE]]&lt;&gt;"",SUMIF($D$5:$D$16,K38,$C$5:$C$16)+SUMIF($D$5:$D$16,K38,$B$5:$B$16),"")</f>
        <v/>
      </c>
    </row>
    <row r="39" customFormat="false" ht="13.8" hidden="false" customHeight="false" outlineLevel="0" collapsed="false">
      <c r="A39" s="28"/>
      <c r="B39" s="19"/>
      <c r="C39" s="20"/>
      <c r="D39" s="21"/>
      <c r="E39" s="22" t="str">
        <f aca="false">IF(F39="X",E38+C39+B39,"")</f>
        <v/>
      </c>
      <c r="F39" s="23"/>
      <c r="K39" s="86"/>
      <c r="L39" s="87" t="str">
        <f aca="false">IF(Tableau732334[[#This Row],[PRATIQUE]]&lt;&gt;"",SUMIF($D$5:$D$16,K39,$C$5:$C$16)+SUMIF($D$5:$D$16,K39,$B$5:$B$16),"")</f>
        <v/>
      </c>
    </row>
    <row r="40" customFormat="false" ht="13.8" hidden="false" customHeight="false" outlineLevel="0" collapsed="false">
      <c r="A40" s="28"/>
      <c r="B40" s="19"/>
      <c r="C40" s="20"/>
      <c r="D40" s="21"/>
      <c r="E40" s="22" t="str">
        <f aca="false">IF(F40="X",#REF!+C40+B40,"")</f>
        <v/>
      </c>
      <c r="F40" s="23"/>
      <c r="K40" s="32"/>
      <c r="L40" s="32"/>
    </row>
    <row r="41" customFormat="false" ht="13.8" hidden="false" customHeight="false" outlineLevel="0" collapsed="false">
      <c r="A41" s="28"/>
      <c r="B41" s="19"/>
      <c r="C41" s="20"/>
      <c r="D41" s="21"/>
      <c r="E41" s="22" t="str">
        <f aca="false">IF(F41="X",E40+C41+B41,"")</f>
        <v/>
      </c>
      <c r="F41" s="23"/>
      <c r="K41" s="88" t="s">
        <v>41</v>
      </c>
      <c r="L41" s="87" t="n">
        <f aca="false">SUMIF(D5:D42,"Orange",C5:C42)+SUMIF(D5:D42,"TEGO",C5:C42)+SUMIF(D5:D42,"Carac",C5:C42)+SUMIF(D5:D42,"Crédit Mutuel",C5:C42)+SUMIF(D5:D42,"Millesime",C5:C42)+SUMIF(D5:D42,"Loyer",C5:C42)+SUMIF(D5:D42,"GoWod",C5:C42)+SUMIF(D5:D42,"EPARMIL",C5:C42)+SUMIF(D5:D42,"Virement Livret Bébé",C5:C42)+SUMIF(D5:D42,"Virement A",C5:C42)</f>
        <v>0</v>
      </c>
    </row>
    <row r="42" customFormat="false" ht="13.8" hidden="false" customHeight="false" outlineLevel="0" collapsed="false">
      <c r="A42" s="28"/>
      <c r="B42" s="19"/>
      <c r="C42" s="20"/>
      <c r="D42" s="21"/>
      <c r="E42" s="22" t="str">
        <f aca="false">IF(F42="X",E41+C42+B42,"")</f>
        <v/>
      </c>
      <c r="F42" s="23"/>
      <c r="K42" s="34"/>
      <c r="L42" s="34"/>
    </row>
    <row r="43" customFormat="false" ht="13.8" hidden="false" customHeight="false" outlineLevel="0" collapsed="false">
      <c r="A43" s="34"/>
      <c r="B43" s="34"/>
      <c r="C43" s="34"/>
      <c r="D43" s="34"/>
      <c r="E43" s="34"/>
      <c r="F43" s="34"/>
      <c r="K43" s="89" t="s">
        <v>12</v>
      </c>
      <c r="L43" s="87" t="n">
        <f aca="false">SUM(L4:L40)</f>
        <v>0</v>
      </c>
    </row>
    <row r="44" customFormat="false" ht="13.8" hidden="false" customHeight="false" outlineLevel="0" collapsed="false">
      <c r="A44" s="34"/>
      <c r="B44" s="34"/>
      <c r="C44" s="34"/>
      <c r="D44" s="34"/>
      <c r="E44" s="34"/>
      <c r="F44" s="34"/>
      <c r="K44" s="89" t="s">
        <v>42</v>
      </c>
      <c r="L44" s="87" t="n">
        <f aca="false">I1+L43</f>
        <v>2200</v>
      </c>
    </row>
    <row r="45" customFormat="false" ht="13.8" hidden="false" customHeight="false" outlineLevel="0" collapsed="false">
      <c r="A45" s="34"/>
      <c r="B45" s="34"/>
      <c r="C45" s="34"/>
      <c r="D45" s="34"/>
      <c r="E45" s="34"/>
      <c r="F45" s="34"/>
    </row>
    <row r="46" customFormat="false" ht="13.8" hidden="false" customHeight="false" outlineLevel="0" collapsed="false">
      <c r="A46" s="34"/>
      <c r="B46" s="34"/>
      <c r="C46" s="34"/>
      <c r="D46" s="34"/>
      <c r="E46" s="34"/>
      <c r="F46" s="34"/>
    </row>
    <row r="47" customFormat="false" ht="13.8" hidden="false" customHeight="false" outlineLevel="0" collapsed="false">
      <c r="A47" s="34"/>
      <c r="B47" s="34"/>
      <c r="C47" s="34"/>
      <c r="D47" s="34"/>
      <c r="E47" s="34"/>
      <c r="F47" s="34"/>
    </row>
    <row r="48" customFormat="false" ht="13.8" hidden="false" customHeight="false" outlineLevel="0" collapsed="false">
      <c r="A48" s="34"/>
      <c r="B48" s="34"/>
      <c r="C48" s="34"/>
      <c r="D48" s="34"/>
      <c r="E48" s="34"/>
      <c r="F48" s="34"/>
    </row>
    <row r="57" customFormat="false" ht="13.8" hidden="false" customHeight="false" outlineLevel="0" collapsed="false">
      <c r="J57" s="36"/>
    </row>
    <row r="1048575" customFormat="false" ht="12.8" hidden="false" customHeight="false" outlineLevel="0" collapsed="false"/>
    <row r="1048576" customFormat="false" ht="12.8" hidden="false" customHeight="false" outlineLevel="0" collapsed="false"/>
  </sheetData>
  <mergeCells count="1">
    <mergeCell ref="K42:L42"/>
  </mergeCells>
  <conditionalFormatting sqref="L41:L42">
    <cfRule type="cellIs" priority="2" operator="greaterThan" aboveAverage="0" equalAverage="0" bottom="0" percent="0" rank="0" text="" dxfId="801">
      <formula>0</formula>
    </cfRule>
    <cfRule type="cellIs" priority="3" operator="lessThan" aboveAverage="0" equalAverage="0" bottom="0" percent="0" rank="0" text="" dxfId="802">
      <formula>0</formula>
    </cfRule>
  </conditionalFormatting>
  <conditionalFormatting sqref="K37">
    <cfRule type="expression" priority="4" aboveAverage="0" equalAverage="0" bottom="0" percent="0" rank="0" text="" dxfId="803">
      <formula>L37&gt;0</formula>
    </cfRule>
    <cfRule type="expression" priority="5" aboveAverage="0" equalAverage="0" bottom="0" percent="0" rank="0" text="" dxfId="804">
      <formula>L37&lt;0</formula>
    </cfRule>
  </conditionalFormatting>
  <conditionalFormatting sqref="K36">
    <cfRule type="expression" priority="6" aboveAverage="0" equalAverage="0" bottom="0" percent="0" rank="0" text="" dxfId="805">
      <formula>L36&gt;0</formula>
    </cfRule>
    <cfRule type="expression" priority="7" aboveAverage="0" equalAverage="0" bottom="0" percent="0" rank="0" text="" dxfId="806">
      <formula>L36&lt;0</formula>
    </cfRule>
  </conditionalFormatting>
  <conditionalFormatting sqref="K35">
    <cfRule type="expression" priority="8" aboveAverage="0" equalAverage="0" bottom="0" percent="0" rank="0" text="" dxfId="807">
      <formula>L35&gt;0</formula>
    </cfRule>
    <cfRule type="expression" priority="9" aboveAverage="0" equalAverage="0" bottom="0" percent="0" rank="0" text="" dxfId="808">
      <formula>L35&lt;0</formula>
    </cfRule>
  </conditionalFormatting>
  <conditionalFormatting sqref="K34">
    <cfRule type="expression" priority="10" aboveAverage="0" equalAverage="0" bottom="0" percent="0" rank="0" text="" dxfId="809">
      <formula>L34&gt;0</formula>
    </cfRule>
    <cfRule type="expression" priority="11" aboveAverage="0" equalAverage="0" bottom="0" percent="0" rank="0" text="" dxfId="810">
      <formula>L34&lt;0</formula>
    </cfRule>
  </conditionalFormatting>
  <conditionalFormatting sqref="K33">
    <cfRule type="expression" priority="12" aboveAverage="0" equalAverage="0" bottom="0" percent="0" rank="0" text="" dxfId="811">
      <formula>L33&gt;0</formula>
    </cfRule>
    <cfRule type="expression" priority="13" aboveAverage="0" equalAverage="0" bottom="0" percent="0" rank="0" text="" dxfId="812">
      <formula>L33&lt;0</formula>
    </cfRule>
  </conditionalFormatting>
  <conditionalFormatting sqref="K32">
    <cfRule type="expression" priority="14" aboveAverage="0" equalAverage="0" bottom="0" percent="0" rank="0" text="" dxfId="813">
      <formula>L32&gt;0</formula>
    </cfRule>
    <cfRule type="expression" priority="15" aboveAverage="0" equalAverage="0" bottom="0" percent="0" rank="0" text="" dxfId="814">
      <formula>L32&lt;0</formula>
    </cfRule>
  </conditionalFormatting>
  <conditionalFormatting sqref="K31">
    <cfRule type="expression" priority="16" aboveAverage="0" equalAverage="0" bottom="0" percent="0" rank="0" text="" dxfId="815">
      <formula>L31&gt;0</formula>
    </cfRule>
    <cfRule type="expression" priority="17" aboveAverage="0" equalAverage="0" bottom="0" percent="0" rank="0" text="" dxfId="816">
      <formula>L31&lt;0</formula>
    </cfRule>
  </conditionalFormatting>
  <conditionalFormatting sqref="K30">
    <cfRule type="expression" priority="18" aboveAverage="0" equalAverage="0" bottom="0" percent="0" rank="0" text="" dxfId="817">
      <formula>L30&gt;0</formula>
    </cfRule>
    <cfRule type="expression" priority="19" aboveAverage="0" equalAverage="0" bottom="0" percent="0" rank="0" text="" dxfId="818">
      <formula>L30&lt;0</formula>
    </cfRule>
  </conditionalFormatting>
  <conditionalFormatting sqref="K29">
    <cfRule type="expression" priority="20" aboveAverage="0" equalAverage="0" bottom="0" percent="0" rank="0" text="" dxfId="819">
      <formula>L29&gt;0</formula>
    </cfRule>
    <cfRule type="expression" priority="21" aboveAverage="0" equalAverage="0" bottom="0" percent="0" rank="0" text="" dxfId="820">
      <formula>L29&lt;0</formula>
    </cfRule>
  </conditionalFormatting>
  <conditionalFormatting sqref="K28">
    <cfRule type="expression" priority="22" aboveAverage="0" equalAverage="0" bottom="0" percent="0" rank="0" text="" dxfId="821">
      <formula>L28&gt;0</formula>
    </cfRule>
    <cfRule type="expression" priority="23" aboveAverage="0" equalAverage="0" bottom="0" percent="0" rank="0" text="" dxfId="822">
      <formula>L28&lt;0</formula>
    </cfRule>
  </conditionalFormatting>
  <conditionalFormatting sqref="K27">
    <cfRule type="expression" priority="24" aboveAverage="0" equalAverage="0" bottom="0" percent="0" rank="0" text="" dxfId="823">
      <formula>L27&gt;0</formula>
    </cfRule>
    <cfRule type="expression" priority="25" aboveAverage="0" equalAverage="0" bottom="0" percent="0" rank="0" text="" dxfId="824">
      <formula>L27&lt;0</formula>
    </cfRule>
  </conditionalFormatting>
  <conditionalFormatting sqref="K26">
    <cfRule type="expression" priority="26" aboveAverage="0" equalAverage="0" bottom="0" percent="0" rank="0" text="" dxfId="825">
      <formula>L26&gt;0</formula>
    </cfRule>
    <cfRule type="expression" priority="27" aboveAverage="0" equalAverage="0" bottom="0" percent="0" rank="0" text="" dxfId="826">
      <formula>L26&lt;0</formula>
    </cfRule>
  </conditionalFormatting>
  <conditionalFormatting sqref="K25">
    <cfRule type="expression" priority="28" aboveAverage="0" equalAverage="0" bottom="0" percent="0" rank="0" text="" dxfId="827">
      <formula>L25&gt;0</formula>
    </cfRule>
    <cfRule type="expression" priority="29" aboveAverage="0" equalAverage="0" bottom="0" percent="0" rank="0" text="" dxfId="828">
      <formula>L25&lt;0</formula>
    </cfRule>
  </conditionalFormatting>
  <conditionalFormatting sqref="K24">
    <cfRule type="expression" priority="30" aboveAverage="0" equalAverage="0" bottom="0" percent="0" rank="0" text="" dxfId="829">
      <formula>L24&gt;0</formula>
    </cfRule>
    <cfRule type="expression" priority="31" aboveAverage="0" equalAverage="0" bottom="0" percent="0" rank="0" text="" dxfId="830">
      <formula>L24&lt;0</formula>
    </cfRule>
  </conditionalFormatting>
  <conditionalFormatting sqref="K23">
    <cfRule type="expression" priority="32" aboveAverage="0" equalAverage="0" bottom="0" percent="0" rank="0" text="" dxfId="831">
      <formula>L23&gt;0</formula>
    </cfRule>
    <cfRule type="expression" priority="33" aboveAverage="0" equalAverage="0" bottom="0" percent="0" rank="0" text="" dxfId="832">
      <formula>L23&lt;0</formula>
    </cfRule>
  </conditionalFormatting>
  <conditionalFormatting sqref="K22">
    <cfRule type="expression" priority="34" aboveAverage="0" equalAverage="0" bottom="0" percent="0" rank="0" text="" dxfId="833">
      <formula>L22&gt;0</formula>
    </cfRule>
    <cfRule type="expression" priority="35" aboveAverage="0" equalAverage="0" bottom="0" percent="0" rank="0" text="" dxfId="834">
      <formula>L22&lt;0</formula>
    </cfRule>
  </conditionalFormatting>
  <conditionalFormatting sqref="K21">
    <cfRule type="expression" priority="36" aboveAverage="0" equalAverage="0" bottom="0" percent="0" rank="0" text="" dxfId="835">
      <formula>L21&gt;0</formula>
    </cfRule>
    <cfRule type="expression" priority="37" aboveAverage="0" equalAverage="0" bottom="0" percent="0" rank="0" text="" dxfId="836">
      <formula>L21&lt;0</formula>
    </cfRule>
  </conditionalFormatting>
  <conditionalFormatting sqref="K20">
    <cfRule type="expression" priority="38" aboveAverage="0" equalAverage="0" bottom="0" percent="0" rank="0" text="" dxfId="837">
      <formula>L20&gt;0</formula>
    </cfRule>
    <cfRule type="expression" priority="39" aboveAverage="0" equalAverage="0" bottom="0" percent="0" rank="0" text="" dxfId="838">
      <formula>L20&lt;0</formula>
    </cfRule>
  </conditionalFormatting>
  <conditionalFormatting sqref="K19">
    <cfRule type="expression" priority="40" aboveAverage="0" equalAverage="0" bottom="0" percent="0" rank="0" text="" dxfId="839">
      <formula>L19&gt;0</formula>
    </cfRule>
    <cfRule type="expression" priority="41" aboveAverage="0" equalAverage="0" bottom="0" percent="0" rank="0" text="" dxfId="840">
      <formula>L19&lt;0</formula>
    </cfRule>
  </conditionalFormatting>
  <conditionalFormatting sqref="K17:K18">
    <cfRule type="expression" priority="42" aboveAverage="0" equalAverage="0" bottom="0" percent="0" rank="0" text="" dxfId="841">
      <formula>L17&gt;0</formula>
    </cfRule>
    <cfRule type="expression" priority="43" aboveAverage="0" equalAverage="0" bottom="0" percent="0" rank="0" text="" dxfId="842">
      <formula>L17&lt;0</formula>
    </cfRule>
  </conditionalFormatting>
  <conditionalFormatting sqref="K16">
    <cfRule type="expression" priority="44" aboveAverage="0" equalAverage="0" bottom="0" percent="0" rank="0" text="" dxfId="843">
      <formula>L16&gt;0</formula>
    </cfRule>
    <cfRule type="expression" priority="45" aboveAverage="0" equalAverage="0" bottom="0" percent="0" rank="0" text="" dxfId="844">
      <formula>L16&lt;0</formula>
    </cfRule>
  </conditionalFormatting>
  <conditionalFormatting sqref="K15">
    <cfRule type="expression" priority="46" aboveAverage="0" equalAverage="0" bottom="0" percent="0" rank="0" text="" dxfId="845">
      <formula>L15&gt;0</formula>
    </cfRule>
    <cfRule type="expression" priority="47" aboveAverage="0" equalAverage="0" bottom="0" percent="0" rank="0" text="" dxfId="846">
      <formula>L15&lt;0</formula>
    </cfRule>
  </conditionalFormatting>
  <conditionalFormatting sqref="K14">
    <cfRule type="expression" priority="48" aboveAverage="0" equalAverage="0" bottom="0" percent="0" rank="0" text="" dxfId="847">
      <formula>L14&gt;0</formula>
    </cfRule>
    <cfRule type="expression" priority="49" aboveAverage="0" equalAverage="0" bottom="0" percent="0" rank="0" text="" dxfId="848">
      <formula>L14&lt;0</formula>
    </cfRule>
  </conditionalFormatting>
  <conditionalFormatting sqref="K13">
    <cfRule type="expression" priority="50" aboveAverage="0" equalAverage="0" bottom="0" percent="0" rank="0" text="" dxfId="849">
      <formula>L13&gt;0</formula>
    </cfRule>
    <cfRule type="expression" priority="51" aboveAverage="0" equalAverage="0" bottom="0" percent="0" rank="0" text="" dxfId="850">
      <formula>L13&lt;0</formula>
    </cfRule>
  </conditionalFormatting>
  <conditionalFormatting sqref="K12">
    <cfRule type="expression" priority="52" aboveAverage="0" equalAverage="0" bottom="0" percent="0" rank="0" text="" dxfId="851">
      <formula>L12&gt;0</formula>
    </cfRule>
    <cfRule type="expression" priority="53" aboveAverage="0" equalAverage="0" bottom="0" percent="0" rank="0" text="" dxfId="852">
      <formula>L12&lt;0</formula>
    </cfRule>
  </conditionalFormatting>
  <conditionalFormatting sqref="K11">
    <cfRule type="expression" priority="54" aboveAverage="0" equalAverage="0" bottom="0" percent="0" rank="0" text="" dxfId="853">
      <formula>L11&gt;0</formula>
    </cfRule>
    <cfRule type="expression" priority="55" aboveAverage="0" equalAverage="0" bottom="0" percent="0" rank="0" text="" dxfId="854">
      <formula>L11&lt;0</formula>
    </cfRule>
  </conditionalFormatting>
  <conditionalFormatting sqref="K10">
    <cfRule type="expression" priority="56" aboveAverage="0" equalAverage="0" bottom="0" percent="0" rank="0" text="" dxfId="855">
      <formula>L10&gt;0</formula>
    </cfRule>
    <cfRule type="expression" priority="57" aboveAverage="0" equalAverage="0" bottom="0" percent="0" rank="0" text="" dxfId="856">
      <formula>L10&lt;0</formula>
    </cfRule>
  </conditionalFormatting>
  <conditionalFormatting sqref="K9">
    <cfRule type="expression" priority="58" aboveAverage="0" equalAverage="0" bottom="0" percent="0" rank="0" text="" dxfId="857">
      <formula>L9&gt;0</formula>
    </cfRule>
    <cfRule type="expression" priority="59" aboveAverage="0" equalAverage="0" bottom="0" percent="0" rank="0" text="" dxfId="858">
      <formula>L9&lt;0</formula>
    </cfRule>
  </conditionalFormatting>
  <conditionalFormatting sqref="K8">
    <cfRule type="expression" priority="60" aboveAverage="0" equalAverage="0" bottom="0" percent="0" rank="0" text="" dxfId="859">
      <formula>L8&gt;0</formula>
    </cfRule>
    <cfRule type="expression" priority="61" aboveAverage="0" equalAverage="0" bottom="0" percent="0" rank="0" text="" dxfId="860">
      <formula>L8&lt;0</formula>
    </cfRule>
  </conditionalFormatting>
  <conditionalFormatting sqref="K7">
    <cfRule type="expression" priority="62" aboveAverage="0" equalAverage="0" bottom="0" percent="0" rank="0" text="" dxfId="861">
      <formula>L7&gt;0</formula>
    </cfRule>
    <cfRule type="expression" priority="63" aboveAverage="0" equalAverage="0" bottom="0" percent="0" rank="0" text="" dxfId="862">
      <formula>L7&lt;0</formula>
    </cfRule>
  </conditionalFormatting>
  <conditionalFormatting sqref="K6">
    <cfRule type="expression" priority="64" aboveAverage="0" equalAverage="0" bottom="0" percent="0" rank="0" text="" dxfId="863">
      <formula>L6&gt;0</formula>
    </cfRule>
    <cfRule type="expression" priority="65" aboveAverage="0" equalAverage="0" bottom="0" percent="0" rank="0" text="" dxfId="864">
      <formula>L6&lt;0</formula>
    </cfRule>
  </conditionalFormatting>
  <conditionalFormatting sqref="K5">
    <cfRule type="expression" priority="66" aboveAverage="0" equalAverage="0" bottom="0" percent="0" rank="0" text="" dxfId="865">
      <formula>L5&gt;0</formula>
    </cfRule>
    <cfRule type="expression" priority="67" aboveAverage="0" equalAverage="0" bottom="0" percent="0" rank="0" text="" dxfId="866">
      <formula>L5&lt;0</formula>
    </cfRule>
  </conditionalFormatting>
  <conditionalFormatting sqref="K41:K42">
    <cfRule type="expression" priority="68" aboveAverage="0" equalAverage="0" bottom="0" percent="0" rank="0" text="" dxfId="867">
      <formula>L45&lt;0</formula>
    </cfRule>
    <cfRule type="expression" priority="69" aboveAverage="0" equalAverage="0" bottom="0" percent="0" rank="0" text="" dxfId="868">
      <formula>L45&gt;0</formula>
    </cfRule>
  </conditionalFormatting>
  <conditionalFormatting sqref="K39">
    <cfRule type="expression" priority="70" aboveAverage="0" equalAverage="0" bottom="0" percent="0" rank="0" text="" dxfId="869">
      <formula>L44&lt;0</formula>
    </cfRule>
    <cfRule type="expression" priority="71" aboveAverage="0" equalAverage="0" bottom="0" percent="0" rank="0" text="" dxfId="870">
      <formula>L44&gt;0</formula>
    </cfRule>
  </conditionalFormatting>
  <conditionalFormatting sqref="K38">
    <cfRule type="expression" priority="72" aboveAverage="0" equalAverage="0" bottom="0" percent="0" rank="0" text="" dxfId="871">
      <formula>L43&lt;0</formula>
    </cfRule>
    <cfRule type="expression" priority="73" aboveAverage="0" equalAverage="0" bottom="0" percent="0" rank="0" text="" dxfId="872">
      <formula>L43&gt;0</formula>
    </cfRule>
  </conditionalFormatting>
  <conditionalFormatting sqref="L30">
    <cfRule type="cellIs" priority="74" operator="lessThan" aboveAverage="0" equalAverage="0" bottom="0" percent="0" rank="0" text="" dxfId="873">
      <formula>0</formula>
    </cfRule>
    <cfRule type="cellIs" priority="75" operator="greaterThan" aboveAverage="0" equalAverage="0" bottom="0" percent="0" rank="0" text="" dxfId="874">
      <formula>0</formula>
    </cfRule>
  </conditionalFormatting>
  <conditionalFormatting sqref="L29">
    <cfRule type="cellIs" priority="76" operator="lessThan" aboveAverage="0" equalAverage="0" bottom="0" percent="0" rank="0" text="" dxfId="875">
      <formula>0</formula>
    </cfRule>
    <cfRule type="cellIs" priority="77" operator="greaterThan" aboveAverage="0" equalAverage="0" bottom="0" percent="0" rank="0" text="" dxfId="876">
      <formula>0</formula>
    </cfRule>
  </conditionalFormatting>
  <conditionalFormatting sqref="L28">
    <cfRule type="cellIs" priority="78" operator="lessThan" aboveAverage="0" equalAverage="0" bottom="0" percent="0" rank="0" text="" dxfId="877">
      <formula>0</formula>
    </cfRule>
    <cfRule type="cellIs" priority="79" operator="greaterThan" aboveAverage="0" equalAverage="0" bottom="0" percent="0" rank="0" text="" dxfId="878">
      <formula>0</formula>
    </cfRule>
  </conditionalFormatting>
  <conditionalFormatting sqref="L27">
    <cfRule type="cellIs" priority="80" operator="lessThan" aboveAverage="0" equalAverage="0" bottom="0" percent="0" rank="0" text="" dxfId="879">
      <formula>0</formula>
    </cfRule>
    <cfRule type="cellIs" priority="81" operator="greaterThan" aboveAverage="0" equalAverage="0" bottom="0" percent="0" rank="0" text="" dxfId="880">
      <formula>0</formula>
    </cfRule>
  </conditionalFormatting>
  <conditionalFormatting sqref="L26">
    <cfRule type="cellIs" priority="82" operator="lessThan" aboveAverage="0" equalAverage="0" bottom="0" percent="0" rank="0" text="" dxfId="881">
      <formula>0</formula>
    </cfRule>
    <cfRule type="cellIs" priority="83" operator="greaterThan" aboveAverage="0" equalAverage="0" bottom="0" percent="0" rank="0" text="" dxfId="882">
      <formula>0</formula>
    </cfRule>
  </conditionalFormatting>
  <conditionalFormatting sqref="L25">
    <cfRule type="cellIs" priority="84" operator="lessThan" aboveAverage="0" equalAverage="0" bottom="0" percent="0" rank="0" text="" dxfId="883">
      <formula>0</formula>
    </cfRule>
    <cfRule type="cellIs" priority="85" operator="greaterThan" aboveAverage="0" equalAverage="0" bottom="0" percent="0" rank="0" text="" dxfId="884">
      <formula>0</formula>
    </cfRule>
  </conditionalFormatting>
  <conditionalFormatting sqref="L6:L39 L42:L44">
    <cfRule type="cellIs" priority="86" operator="greaterThan" aboveAverage="0" equalAverage="0" bottom="0" percent="0" rank="0" text="" dxfId="885">
      <formula>0</formula>
    </cfRule>
    <cfRule type="cellIs" priority="87" operator="lessThan" aboveAverage="0" equalAverage="0" bottom="0" percent="0" rank="0" text="" dxfId="886">
      <formula>0</formula>
    </cfRule>
  </conditionalFormatting>
  <conditionalFormatting sqref="L44">
    <cfRule type="cellIs" priority="88" operator="greaterThan" aboveAverage="0" equalAverage="0" bottom="0" percent="0" rank="0" text="" dxfId="887">
      <formula>0</formula>
    </cfRule>
    <cfRule type="expression" priority="89" aboveAverage="0" equalAverage="0" bottom="0" percent="0" rank="0" text="" dxfId="888">
      <formula>$L$5:$L$43&lt;0</formula>
    </cfRule>
  </conditionalFormatting>
  <conditionalFormatting sqref="L24">
    <cfRule type="cellIs" priority="90" operator="lessThan" aboveAverage="0" equalAverage="0" bottom="0" percent="0" rank="0" text="" dxfId="95">
      <formula>0</formula>
    </cfRule>
    <cfRule type="cellIs" priority="91" operator="greaterThan" aboveAverage="0" equalAverage="0" bottom="0" percent="0" rank="0" text="" dxfId="96">
      <formula>0</formula>
    </cfRule>
  </conditionalFormatting>
  <conditionalFormatting sqref="L23">
    <cfRule type="cellIs" priority="92" operator="lessThan" aboveAverage="0" equalAverage="0" bottom="0" percent="0" rank="0" text="" dxfId="97">
      <formula>0</formula>
    </cfRule>
    <cfRule type="cellIs" priority="93" operator="greaterThan" aboveAverage="0" equalAverage="0" bottom="0" percent="0" rank="0" text="" dxfId="98">
      <formula>0</formula>
    </cfRule>
  </conditionalFormatting>
  <conditionalFormatting sqref="L22">
    <cfRule type="cellIs" priority="94" operator="lessThan" aboveAverage="0" equalAverage="0" bottom="0" percent="0" rank="0" text="" dxfId="99">
      <formula>0</formula>
    </cfRule>
    <cfRule type="cellIs" priority="95" operator="greaterThan" aboveAverage="0" equalAverage="0" bottom="0" percent="0" rank="0" text="" dxfId="100">
      <formula>0</formula>
    </cfRule>
  </conditionalFormatting>
  <conditionalFormatting sqref="L21">
    <cfRule type="cellIs" priority="96" operator="lessThan" aboveAverage="0" equalAverage="0" bottom="0" percent="0" rank="0" text="" dxfId="101">
      <formula>0</formula>
    </cfRule>
    <cfRule type="cellIs" priority="97" operator="greaterThan" aboveAverage="0" equalAverage="0" bottom="0" percent="0" rank="0" text="" dxfId="102">
      <formula>0</formula>
    </cfRule>
  </conditionalFormatting>
  <conditionalFormatting sqref="L20">
    <cfRule type="cellIs" priority="98" operator="lessThan" aboveAverage="0" equalAverage="0" bottom="0" percent="0" rank="0" text="" dxfId="103">
      <formula>0</formula>
    </cfRule>
    <cfRule type="cellIs" priority="99" operator="greaterThan" aboveAverage="0" equalAverage="0" bottom="0" percent="0" rank="0" text="" dxfId="104">
      <formula>0</formula>
    </cfRule>
  </conditionalFormatting>
  <conditionalFormatting sqref="L13">
    <cfRule type="cellIs" priority="100" operator="lessThan" aboveAverage="0" equalAverage="0" bottom="0" percent="0" rank="0" text="" dxfId="105">
      <formula>0</formula>
    </cfRule>
    <cfRule type="cellIs" priority="101" operator="greaterThan" aboveAverage="0" equalAverage="0" bottom="0" percent="0" rank="0" text="" dxfId="106">
      <formula>0</formula>
    </cfRule>
  </conditionalFormatting>
  <conditionalFormatting sqref="L12">
    <cfRule type="cellIs" priority="102" operator="lessThan" aboveAverage="0" equalAverage="0" bottom="0" percent="0" rank="0" text="" dxfId="107">
      <formula>0</formula>
    </cfRule>
    <cfRule type="cellIs" priority="103" operator="greaterThan" aboveAverage="0" equalAverage="0" bottom="0" percent="0" rank="0" text="" dxfId="108">
      <formula>0</formula>
    </cfRule>
  </conditionalFormatting>
  <conditionalFormatting sqref="L11">
    <cfRule type="cellIs" priority="104" operator="lessThan" aboveAverage="0" equalAverage="0" bottom="0" percent="0" rank="0" text="" dxfId="109">
      <formula>0</formula>
    </cfRule>
    <cfRule type="cellIs" priority="105" operator="greaterThan" aboveAverage="0" equalAverage="0" bottom="0" percent="0" rank="0" text="" dxfId="110">
      <formula>0</formula>
    </cfRule>
  </conditionalFormatting>
  <conditionalFormatting sqref="L10">
    <cfRule type="cellIs" priority="106" operator="lessThan" aboveAverage="0" equalAverage="0" bottom="0" percent="0" rank="0" text="" dxfId="111">
      <formula>0</formula>
    </cfRule>
    <cfRule type="cellIs" priority="107" operator="greaterThan" aboveAverage="0" equalAverage="0" bottom="0" percent="0" rank="0" text="" dxfId="112">
      <formula>0</formula>
    </cfRule>
  </conditionalFormatting>
  <conditionalFormatting sqref="L9">
    <cfRule type="cellIs" priority="108" operator="lessThan" aboveAverage="0" equalAverage="0" bottom="0" percent="0" rank="0" text="" dxfId="113">
      <formula>0</formula>
    </cfRule>
    <cfRule type="cellIs" priority="109" operator="greaterThan" aboveAverage="0" equalAverage="0" bottom="0" percent="0" rank="0" text="" dxfId="114">
      <formula>0</formula>
    </cfRule>
  </conditionalFormatting>
  <conditionalFormatting sqref="L8">
    <cfRule type="cellIs" priority="110" operator="lessThan" aboveAverage="0" equalAverage="0" bottom="0" percent="0" rank="0" text="" dxfId="115">
      <formula>0</formula>
    </cfRule>
    <cfRule type="cellIs" priority="111" operator="greaterThan" aboveAverage="0" equalAverage="0" bottom="0" percent="0" rank="0" text="" dxfId="116">
      <formula>0</formula>
    </cfRule>
  </conditionalFormatting>
  <conditionalFormatting sqref="L7">
    <cfRule type="cellIs" priority="112" operator="lessThan" aboveAverage="0" equalAverage="0" bottom="0" percent="0" rank="0" text="" dxfId="117">
      <formula>0</formula>
    </cfRule>
    <cfRule type="cellIs" priority="113" operator="greaterThan" aboveAverage="0" equalAverage="0" bottom="0" percent="0" rank="0" text="" dxfId="118">
      <formula>0</formula>
    </cfRule>
  </conditionalFormatting>
  <conditionalFormatting sqref="L6">
    <cfRule type="cellIs" priority="114" operator="lessThan" aboveAverage="0" equalAverage="0" bottom="0" percent="0" rank="0" text="" dxfId="119">
      <formula>0</formula>
    </cfRule>
    <cfRule type="cellIs" priority="115" operator="greaterThan" aboveAverage="0" equalAverage="0" bottom="0" percent="0" rank="0" text="" dxfId="120">
      <formula>0</formula>
    </cfRule>
  </conditionalFormatting>
  <conditionalFormatting sqref="L5">
    <cfRule type="cellIs" priority="116" operator="lessThan" aboveAverage="0" equalAverage="0" bottom="0" percent="0" rank="0" text="" dxfId="121">
      <formula>0</formula>
    </cfRule>
    <cfRule type="cellIs" priority="117" operator="greaterThan" aboveAverage="0" equalAverage="0" bottom="0" percent="0" rank="0" text="" dxfId="122">
      <formula>0</formula>
    </cfRule>
  </conditionalFormatting>
  <conditionalFormatting sqref="L5:L24">
    <cfRule type="cellIs" priority="118" operator="greaterThan" aboveAverage="0" equalAverage="0" bottom="0" percent="0" rank="0" text="" dxfId="123">
      <formula>0</formula>
    </cfRule>
    <cfRule type="cellIs" priority="119" operator="lessThan" aboveAverage="0" equalAverage="0" bottom="0" percent="0" rank="0" text="" dxfId="124">
      <formula>0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0485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" activeCellId="0" sqref="G2"/>
    </sheetView>
  </sheetViews>
  <sheetFormatPr defaultColWidth="11.4453125" defaultRowHeight="13.8" zeroHeight="false" outlineLevelRow="0" outlineLevelCol="0"/>
  <cols>
    <col collapsed="false" customWidth="true" hidden="false" outlineLevel="0" max="1" min="1" style="1" width="13.88"/>
    <col collapsed="false" customWidth="false" hidden="false" outlineLevel="0" max="3" min="2" style="1" width="11.44"/>
    <col collapsed="false" customWidth="true" hidden="false" outlineLevel="0" max="4" min="4" style="1" width="25.88"/>
    <col collapsed="false" customWidth="true" hidden="false" outlineLevel="0" max="5" min="5" style="1" width="12.88"/>
    <col collapsed="false" customWidth="true" hidden="false" outlineLevel="0" max="6" min="6" style="1" width="8.88"/>
    <col collapsed="false" customWidth="false" hidden="false" outlineLevel="0" max="7" min="7" style="1" width="11.44"/>
    <col collapsed="false" customWidth="true" hidden="false" outlineLevel="0" max="8" min="8" style="1" width="15.56"/>
    <col collapsed="false" customWidth="false" hidden="false" outlineLevel="0" max="10" min="9" style="1" width="11.44"/>
    <col collapsed="false" customWidth="true" hidden="false" outlineLevel="0" max="11" min="11" style="1" width="25.67"/>
    <col collapsed="false" customWidth="true" hidden="false" outlineLevel="0" max="12" min="12" style="1" width="11.56"/>
    <col collapsed="false" customWidth="false" hidden="false" outlineLevel="0" max="13" min="13" style="1" width="11.44"/>
    <col collapsed="false" customWidth="true" hidden="false" outlineLevel="0" max="14" min="14" style="1" width="25.56"/>
    <col collapsed="false" customWidth="false" hidden="false" outlineLevel="0" max="16384" min="15" style="1" width="11.44"/>
  </cols>
  <sheetData>
    <row r="1" customFormat="false" ht="14.25" hidden="false" customHeight="false" outlineLevel="0" collapsed="false">
      <c r="A1" s="2" t="s">
        <v>0</v>
      </c>
      <c r="B1" s="3"/>
      <c r="D1" s="4" t="s">
        <v>1</v>
      </c>
      <c r="E1" s="3" t="n">
        <f aca="false">SUM(C5:C67)+SUM(B5:B67)-SUMIF(Tableau32[Raison],"Solde",Tableau32[Crédit])</f>
        <v>0</v>
      </c>
      <c r="F1" s="5"/>
      <c r="G1" s="6"/>
      <c r="H1" s="4" t="s">
        <v>53</v>
      </c>
      <c r="I1" s="3" t="n">
        <f aca="false">SUMIF(Tableau32[Raison],"Salaire",Tableau32[Crédit])</f>
        <v>0</v>
      </c>
    </row>
    <row r="2" customFormat="false" ht="15" hidden="false" customHeight="false" outlineLevel="0" collapsed="false">
      <c r="A2" s="2" t="s">
        <v>3</v>
      </c>
      <c r="B2" s="3"/>
      <c r="D2" s="4" t="s">
        <v>4</v>
      </c>
      <c r="E2" s="3" t="n">
        <f aca="false">I1+E1</f>
        <v>0</v>
      </c>
      <c r="F2" s="7"/>
      <c r="G2" s="8" t="e">
        <f aca="false">(100/I1)*E2/100</f>
        <v>#DIV/0!</v>
      </c>
    </row>
    <row r="3" customFormat="false" ht="14.25" hidden="false" customHeight="false" outlineLevel="0" collapsed="false">
      <c r="F3" s="9"/>
    </row>
    <row r="4" customFormat="false" ht="13.8" hidden="false" customHeight="false" outlineLevel="0" collapsed="false">
      <c r="A4" s="90" t="s">
        <v>5</v>
      </c>
      <c r="B4" s="91" t="s">
        <v>6</v>
      </c>
      <c r="C4" s="92" t="s">
        <v>7</v>
      </c>
      <c r="D4" s="93" t="s">
        <v>8</v>
      </c>
      <c r="E4" s="94" t="s">
        <v>9</v>
      </c>
      <c r="F4" s="95" t="s">
        <v>10</v>
      </c>
      <c r="K4" s="16" t="s">
        <v>11</v>
      </c>
      <c r="L4" s="17" t="s">
        <v>12</v>
      </c>
    </row>
    <row r="5" customFormat="false" ht="13.8" hidden="false" customHeight="false" outlineLevel="0" collapsed="false">
      <c r="A5" s="28"/>
      <c r="B5" s="19"/>
      <c r="C5" s="20"/>
      <c r="D5" s="21"/>
      <c r="E5" s="22" t="str">
        <f aca="false">IF(F5="X",B1+C5+B5,"")</f>
        <v/>
      </c>
      <c r="F5" s="23"/>
      <c r="K5" s="24"/>
      <c r="L5" s="25" t="n">
        <f aca="false">IF(K5&lt;&gt;"",SUMIF($D$5:$D$55,K5,$C$5:$C$55)+SUMIF($D$5:$D$55,K5,$B$5:$B$55))</f>
        <v>0</v>
      </c>
    </row>
    <row r="6" customFormat="false" ht="13.8" hidden="false" customHeight="false" outlineLevel="0" collapsed="false">
      <c r="A6" s="28"/>
      <c r="B6" s="19"/>
      <c r="C6" s="20"/>
      <c r="D6" s="21"/>
      <c r="E6" s="22" t="str">
        <f aca="false">IF(F6="X",E5+C6+B6,"")</f>
        <v/>
      </c>
      <c r="F6" s="23"/>
      <c r="K6" s="26"/>
      <c r="L6" s="25" t="str">
        <f aca="false">IF(K6&lt;&gt;"",SUMIF($D$5:$D$55,K6,$C$5:$C$55)+SUMIF($D$5:$D$55,K6,$B$5:$B$55),"")</f>
        <v/>
      </c>
    </row>
    <row r="7" customFormat="false" ht="13.8" hidden="false" customHeight="false" outlineLevel="0" collapsed="false">
      <c r="A7" s="28"/>
      <c r="B7" s="19"/>
      <c r="C7" s="20"/>
      <c r="D7" s="21"/>
      <c r="E7" s="22" t="str">
        <f aca="false">IF(F7="X",E6+C7+B7,"")</f>
        <v/>
      </c>
      <c r="F7" s="23"/>
      <c r="K7" s="26"/>
      <c r="L7" s="25" t="str">
        <f aca="false">IF(K7&lt;&gt;"",SUMIF($D$5:$D$55,K7,$C$5:$C$55)+SUMIF($D$5:$D$55,K7,$B$5:$B$55),"")</f>
        <v/>
      </c>
    </row>
    <row r="8" customFormat="false" ht="13.8" hidden="false" customHeight="false" outlineLevel="0" collapsed="false">
      <c r="A8" s="28"/>
      <c r="B8" s="19"/>
      <c r="C8" s="20"/>
      <c r="D8" s="21"/>
      <c r="E8" s="22" t="str">
        <f aca="false">IF(F8="X",E7+C8+B8,"")</f>
        <v/>
      </c>
      <c r="F8" s="23"/>
      <c r="K8" s="26"/>
      <c r="L8" s="25" t="str">
        <f aca="false">IF(K8&lt;&gt;"",SUMIF($D$5:$D$55,K8,$C$5:$C$55)+SUMIF($D$5:$D$55,K8,$B$5:$B$55),"")</f>
        <v/>
      </c>
    </row>
    <row r="9" customFormat="false" ht="13.8" hidden="false" customHeight="false" outlineLevel="0" collapsed="false">
      <c r="A9" s="28"/>
      <c r="B9" s="19"/>
      <c r="C9" s="20"/>
      <c r="D9" s="21"/>
      <c r="E9" s="22" t="str">
        <f aca="false">IF(F9="X",E8+C9+B9,"")</f>
        <v/>
      </c>
      <c r="F9" s="23"/>
      <c r="K9" s="26"/>
      <c r="L9" s="25" t="str">
        <f aca="false">IF(K9&lt;&gt;"",SUMIF($D$5:$D$55,K9,$C$5:$C$55)+SUMIF($D$5:$D$55,K9,$B$5:$B$55),"")</f>
        <v/>
      </c>
    </row>
    <row r="10" customFormat="false" ht="13.8" hidden="false" customHeight="false" outlineLevel="0" collapsed="false">
      <c r="A10" s="28"/>
      <c r="B10" s="30"/>
      <c r="C10" s="31"/>
      <c r="D10" s="21"/>
      <c r="E10" s="22" t="str">
        <f aca="false">IF(F10="X",E9+C10+B10,"")</f>
        <v/>
      </c>
      <c r="F10" s="23"/>
      <c r="K10" s="26"/>
      <c r="L10" s="25" t="str">
        <f aca="false">IF(K10&lt;&gt;"",SUMIF($D$5:$D$55,K10,$C$5:$C$55)+SUMIF($D$5:$D$55,K10,$B$5:$B$55),"")</f>
        <v/>
      </c>
    </row>
    <row r="11" customFormat="false" ht="13.8" hidden="false" customHeight="false" outlineLevel="0" collapsed="false">
      <c r="A11" s="28"/>
      <c r="B11" s="19"/>
      <c r="C11" s="20"/>
      <c r="D11" s="21"/>
      <c r="E11" s="22" t="str">
        <f aca="false">IF(F11="X",E10+C11+B11,"")</f>
        <v/>
      </c>
      <c r="F11" s="23"/>
      <c r="K11" s="26"/>
      <c r="L11" s="25" t="str">
        <f aca="false">IF(K11&lt;&gt;"",SUMIF($D$5:$D$55,K11,$C$5:$C$55)+SUMIF($D$5:$D$55,K11,$B$5:$B$55),"")</f>
        <v/>
      </c>
    </row>
    <row r="12" customFormat="false" ht="13.8" hidden="false" customHeight="false" outlineLevel="0" collapsed="false">
      <c r="A12" s="18"/>
      <c r="B12" s="19"/>
      <c r="C12" s="31"/>
      <c r="D12" s="21"/>
      <c r="E12" s="22" t="str">
        <f aca="false">IF(F12="X",E11+C12+B12,"")</f>
        <v/>
      </c>
      <c r="F12" s="23"/>
      <c r="K12" s="26"/>
      <c r="L12" s="25" t="str">
        <f aca="false">IF(K12&lt;&gt;"",SUMIF($D$5:$D$55,K12,$C$5:$C$55)+SUMIF($D$5:$D$55,K12,$B$5:$B$55),"")</f>
        <v/>
      </c>
    </row>
    <row r="13" customFormat="false" ht="13.8" hidden="false" customHeight="false" outlineLevel="0" collapsed="false">
      <c r="A13" s="28"/>
      <c r="B13" s="19"/>
      <c r="C13" s="20"/>
      <c r="D13" s="21"/>
      <c r="E13" s="22" t="str">
        <f aca="false">IF(F13="X",E12+C13+B13,"")</f>
        <v/>
      </c>
      <c r="F13" s="23"/>
      <c r="K13" s="26"/>
      <c r="L13" s="25" t="str">
        <f aca="false">IF(K13&lt;&gt;"",SUMIF($D$5:$D$55,K13,$C$5:$C$55)+SUMIF($D$5:$D$55,K13,$B$5:$B$55),"")</f>
        <v/>
      </c>
    </row>
    <row r="14" customFormat="false" ht="13.8" hidden="false" customHeight="false" outlineLevel="0" collapsed="false">
      <c r="A14" s="28"/>
      <c r="B14" s="19"/>
      <c r="C14" s="20"/>
      <c r="D14" s="21"/>
      <c r="E14" s="22" t="str">
        <f aca="false">IF(F14="X",E13+C14+B14,"")</f>
        <v/>
      </c>
      <c r="F14" s="23"/>
      <c r="K14" s="26"/>
      <c r="L14" s="25" t="str">
        <f aca="false">IF(K14&lt;&gt;"",SUMIF($D$5:$D$55,K14,$C$5:$C$55)+SUMIF($D$5:$D$55,K14,$B$5:$B$55),"")</f>
        <v/>
      </c>
    </row>
    <row r="15" customFormat="false" ht="13.8" hidden="false" customHeight="false" outlineLevel="0" collapsed="false">
      <c r="A15" s="18"/>
      <c r="B15" s="19"/>
      <c r="C15" s="20"/>
      <c r="D15" s="21"/>
      <c r="E15" s="22" t="str">
        <f aca="false">IF(F15="X",E14+C15+B15,"")</f>
        <v/>
      </c>
      <c r="F15" s="23"/>
      <c r="K15" s="26"/>
      <c r="L15" s="25" t="str">
        <f aca="false">IF(K15&lt;&gt;"",SUMIF($D$5:$D$55,K15,$C$5:$C$55)+SUMIF($D$5:$D$55,K15,$B$5:$B$55),"")</f>
        <v/>
      </c>
    </row>
    <row r="16" customFormat="false" ht="13.8" hidden="false" customHeight="false" outlineLevel="0" collapsed="false">
      <c r="A16" s="18"/>
      <c r="B16" s="19"/>
      <c r="C16" s="20"/>
      <c r="D16" s="21"/>
      <c r="E16" s="22" t="str">
        <f aca="false">IF(F16="X",E15+C16+B16,"")</f>
        <v/>
      </c>
      <c r="F16" s="23"/>
      <c r="K16" s="26"/>
      <c r="L16" s="25" t="str">
        <f aca="false">IF(K16&lt;&gt;"",SUMIF($D$5:$D$55,K16,$C$5:$C$55)+SUMIF($D$5:$D$55,K16,$B$5:$B$55),"")</f>
        <v/>
      </c>
    </row>
    <row r="17" customFormat="false" ht="13.8" hidden="false" customHeight="false" outlineLevel="0" collapsed="false">
      <c r="A17" s="28"/>
      <c r="B17" s="19"/>
      <c r="C17" s="20"/>
      <c r="D17" s="21"/>
      <c r="E17" s="22" t="str">
        <f aca="false">IF(F17="X",E16+C17+B17,"")</f>
        <v/>
      </c>
      <c r="F17" s="23"/>
      <c r="K17" s="26"/>
      <c r="L17" s="25" t="str">
        <f aca="false">IF(K17&lt;&gt;"",SUMIF($D$5:$D$55,K17,$C$5:$C$55)+SUMIF($D$5:$D$55,K17,$B$5:$B$55),"")</f>
        <v/>
      </c>
    </row>
    <row r="18" customFormat="false" ht="13.8" hidden="false" customHeight="false" outlineLevel="0" collapsed="false">
      <c r="A18" s="18"/>
      <c r="B18" s="19"/>
      <c r="C18" s="20"/>
      <c r="D18" s="21"/>
      <c r="E18" s="22" t="str">
        <f aca="false">IF(F18="X",E17+C18+B18,"")</f>
        <v/>
      </c>
      <c r="F18" s="23"/>
      <c r="K18" s="26"/>
      <c r="L18" s="25" t="str">
        <f aca="false">IF(K18&lt;&gt;"",SUMIF($D$5:$D$55,K18,$C$5:$C$55)+SUMIF($D$5:$D$55,K18,$B$5:$B$55),"")</f>
        <v/>
      </c>
    </row>
    <row r="19" customFormat="false" ht="13.8" hidden="false" customHeight="false" outlineLevel="0" collapsed="false">
      <c r="A19" s="18"/>
      <c r="B19" s="19"/>
      <c r="C19" s="20"/>
      <c r="D19" s="21"/>
      <c r="E19" s="22" t="str">
        <f aca="false">IF(F19="X",E18+C19+B19,"")</f>
        <v/>
      </c>
      <c r="F19" s="23"/>
      <c r="K19" s="26"/>
      <c r="L19" s="25" t="str">
        <f aca="false">IF(K19&lt;&gt;"",SUMIF($D$5:$D$55,K19,$C$5:$C$55)+SUMIF($D$5:$D$55,K19,$B$5:$B$55),"")</f>
        <v/>
      </c>
    </row>
    <row r="20" customFormat="false" ht="13.8" hidden="false" customHeight="false" outlineLevel="0" collapsed="false">
      <c r="A20" s="18"/>
      <c r="B20" s="19"/>
      <c r="C20" s="20"/>
      <c r="D20" s="21"/>
      <c r="E20" s="22" t="str">
        <f aca="false">IF(F20="X",E19+C20+B20,"")</f>
        <v/>
      </c>
      <c r="F20" s="37"/>
      <c r="K20" s="26"/>
      <c r="L20" s="25" t="str">
        <f aca="false">IF(K20&lt;&gt;"",SUMIF($D$5:$D$55,K20,$C$5:$C$55)+SUMIF($D$5:$D$55,K20,$B$5:$B$55),"")</f>
        <v/>
      </c>
    </row>
    <row r="21" customFormat="false" ht="13.8" hidden="false" customHeight="false" outlineLevel="0" collapsed="false">
      <c r="A21" s="18"/>
      <c r="B21" s="19"/>
      <c r="C21" s="20"/>
      <c r="D21" s="21"/>
      <c r="E21" s="22" t="str">
        <f aca="false">IF(F21="X",E20+C21+B21,"")</f>
        <v/>
      </c>
      <c r="F21" s="37"/>
      <c r="K21" s="26"/>
      <c r="L21" s="25" t="str">
        <f aca="false">IF(K21&lt;&gt;"",SUMIF($D$5:$D$55,K21,$C$5:$C$55)+SUMIF($D$5:$D$55,K21,$B$5:$B$55),"")</f>
        <v/>
      </c>
    </row>
    <row r="22" customFormat="false" ht="13.8" hidden="false" customHeight="false" outlineLevel="0" collapsed="false">
      <c r="A22" s="18"/>
      <c r="B22" s="19"/>
      <c r="C22" s="20"/>
      <c r="D22" s="21"/>
      <c r="E22" s="22" t="str">
        <f aca="false">IF(F22="X",E21+C22+B22,"")</f>
        <v/>
      </c>
      <c r="F22" s="23"/>
      <c r="K22" s="26"/>
      <c r="L22" s="25" t="str">
        <f aca="false">IF(K22&lt;&gt;"",SUMIF($D$5:$D$55,K22,$C$5:$C$55)+SUMIF($D$5:$D$55,K22,$B$5:$B$55),"")</f>
        <v/>
      </c>
    </row>
    <row r="23" customFormat="false" ht="13.8" hidden="false" customHeight="false" outlineLevel="0" collapsed="false">
      <c r="A23" s="28"/>
      <c r="B23" s="19"/>
      <c r="C23" s="20"/>
      <c r="D23" s="21"/>
      <c r="E23" s="22" t="str">
        <f aca="false">IF(F23="X",E22+C23+B23,"")</f>
        <v/>
      </c>
      <c r="F23" s="23"/>
      <c r="K23" s="26"/>
      <c r="L23" s="25" t="str">
        <f aca="false">IF(K23&lt;&gt;"",SUMIF($D$5:$D$55,K23,$C$5:$C$55)+SUMIF($D$5:$D$55,K23,$B$5:$B$55),"")</f>
        <v/>
      </c>
    </row>
    <row r="24" customFormat="false" ht="13.8" hidden="false" customHeight="false" outlineLevel="0" collapsed="false">
      <c r="A24" s="28"/>
      <c r="B24" s="19"/>
      <c r="C24" s="20"/>
      <c r="D24" s="21"/>
      <c r="E24" s="22" t="str">
        <f aca="false">IF(F24="X",E23+C24+B24,"")</f>
        <v/>
      </c>
      <c r="F24" s="23"/>
      <c r="K24" s="26"/>
      <c r="L24" s="25" t="str">
        <f aca="false">IF(K24&lt;&gt;"",SUMIF($D$5:$D$55,K24,$C$5:$C$55)+SUMIF($D$5:$D$55,K24,$B$5:$B$55),"")</f>
        <v/>
      </c>
    </row>
    <row r="25" customFormat="false" ht="13.8" hidden="false" customHeight="false" outlineLevel="0" collapsed="false">
      <c r="A25" s="28"/>
      <c r="B25" s="19"/>
      <c r="C25" s="20"/>
      <c r="D25" s="21"/>
      <c r="E25" s="22" t="str">
        <f aca="false">IF(F25="X",E24+C25+B25,"")</f>
        <v/>
      </c>
      <c r="F25" s="23"/>
      <c r="K25" s="26"/>
      <c r="L25" s="29"/>
    </row>
    <row r="26" customFormat="false" ht="13.8" hidden="false" customHeight="false" outlineLevel="0" collapsed="false">
      <c r="A26" s="28"/>
      <c r="B26" s="19"/>
      <c r="C26" s="20"/>
      <c r="D26" s="21"/>
      <c r="E26" s="22" t="str">
        <f aca="false">IF(F26="X",E25+C26+B26,"")</f>
        <v/>
      </c>
      <c r="F26" s="23"/>
      <c r="K26" s="26"/>
      <c r="L26" s="29"/>
    </row>
    <row r="27" customFormat="false" ht="13.8" hidden="false" customHeight="false" outlineLevel="0" collapsed="false">
      <c r="A27" s="28"/>
      <c r="B27" s="19"/>
      <c r="C27" s="20"/>
      <c r="D27" s="21"/>
      <c r="E27" s="22" t="str">
        <f aca="false">IF(F27="X",E26+C27+B27,"")</f>
        <v/>
      </c>
      <c r="F27" s="23"/>
      <c r="K27" s="26"/>
      <c r="L27" s="29"/>
    </row>
    <row r="28" customFormat="false" ht="13.8" hidden="false" customHeight="false" outlineLevel="0" collapsed="false">
      <c r="A28" s="28"/>
      <c r="B28" s="19"/>
      <c r="C28" s="20"/>
      <c r="D28" s="21"/>
      <c r="E28" s="22" t="str">
        <f aca="false">IF(F28="X",E27+C28+B28,"")</f>
        <v/>
      </c>
      <c r="F28" s="23"/>
      <c r="K28" s="26"/>
      <c r="L28" s="29"/>
    </row>
    <row r="29" customFormat="false" ht="13.8" hidden="false" customHeight="false" outlineLevel="0" collapsed="false">
      <c r="A29" s="28"/>
      <c r="B29" s="19"/>
      <c r="C29" s="20"/>
      <c r="D29" s="21"/>
      <c r="E29" s="22" t="str">
        <f aca="false">IF(F29="X",E28+C29+B29,"")</f>
        <v/>
      </c>
      <c r="F29" s="23"/>
      <c r="K29" s="26"/>
      <c r="L29" s="29"/>
    </row>
    <row r="30" customFormat="false" ht="13.8" hidden="false" customHeight="false" outlineLevel="0" collapsed="false">
      <c r="A30" s="28"/>
      <c r="B30" s="19"/>
      <c r="C30" s="20"/>
      <c r="D30" s="21"/>
      <c r="E30" s="22" t="str">
        <f aca="false">IF(F30="X",E29+C30+B30,"")</f>
        <v/>
      </c>
      <c r="F30" s="23"/>
      <c r="K30" s="26"/>
      <c r="L30" s="29"/>
    </row>
    <row r="31" customFormat="false" ht="13.8" hidden="false" customHeight="false" outlineLevel="0" collapsed="false">
      <c r="A31" s="28"/>
      <c r="B31" s="19"/>
      <c r="C31" s="20"/>
      <c r="D31" s="21"/>
      <c r="E31" s="22" t="str">
        <f aca="false">IF(F31="X",E30+C31+B31,"")</f>
        <v/>
      </c>
      <c r="F31" s="23"/>
      <c r="K31" s="26"/>
      <c r="L31" s="29"/>
    </row>
    <row r="32" customFormat="false" ht="13.8" hidden="false" customHeight="false" outlineLevel="0" collapsed="false">
      <c r="A32" s="28"/>
      <c r="B32" s="19"/>
      <c r="C32" s="20"/>
      <c r="D32" s="21"/>
      <c r="E32" s="22" t="str">
        <f aca="false">IF(F32="X",E31+C32+B32,"")</f>
        <v/>
      </c>
      <c r="F32" s="23"/>
      <c r="K32" s="26"/>
      <c r="L32" s="29"/>
    </row>
    <row r="33" customFormat="false" ht="13.8" hidden="false" customHeight="false" outlineLevel="0" collapsed="false">
      <c r="A33" s="18"/>
      <c r="B33" s="19"/>
      <c r="C33" s="20"/>
      <c r="D33" s="21"/>
      <c r="E33" s="22" t="str">
        <f aca="false">IF(F33="X",E32+C33+B33,"")</f>
        <v/>
      </c>
      <c r="F33" s="23"/>
      <c r="K33" s="26"/>
      <c r="L33" s="29"/>
    </row>
    <row r="34" customFormat="false" ht="13.8" hidden="false" customHeight="false" outlineLevel="0" collapsed="false">
      <c r="A34" s="28"/>
      <c r="B34" s="19"/>
      <c r="C34" s="20"/>
      <c r="D34" s="21"/>
      <c r="E34" s="22" t="str">
        <f aca="false">IF(F34="X",E33+C34+B34,"")</f>
        <v/>
      </c>
      <c r="F34" s="23"/>
      <c r="K34" s="26"/>
      <c r="L34" s="29"/>
    </row>
    <row r="35" customFormat="false" ht="13.8" hidden="false" customHeight="false" outlineLevel="0" collapsed="false">
      <c r="A35" s="28"/>
      <c r="B35" s="19"/>
      <c r="C35" s="20"/>
      <c r="D35" s="21"/>
      <c r="E35" s="22" t="str">
        <f aca="false">IF(F35="X",E34+C35+B35,"")</f>
        <v/>
      </c>
      <c r="F35" s="23"/>
      <c r="K35" s="26"/>
      <c r="L35" s="29" t="str">
        <f aca="false">IF(Tableau732335[[#This Row],[PRATIQUE]]&lt;&gt;"",SUMIF($D$5:$D$53,K35,$C$5:$C$53)+SUMIF($D$5:$D$53,K35,$B$5:$B$53),"")</f>
        <v/>
      </c>
    </row>
    <row r="36" customFormat="false" ht="13.8" hidden="false" customHeight="false" outlineLevel="0" collapsed="false">
      <c r="A36" s="28"/>
      <c r="B36" s="19"/>
      <c r="C36" s="20"/>
      <c r="D36" s="21"/>
      <c r="E36" s="22" t="str">
        <f aca="false">IF(F36="X",E35+C36+B36,"")</f>
        <v/>
      </c>
      <c r="F36" s="23"/>
      <c r="K36" s="26"/>
      <c r="L36" s="29" t="str">
        <f aca="false">IF(Tableau732335[[#This Row],[PRATIQUE]]&lt;&gt;"",SUMIF($D$5:$D$53,K36,$C$5:$C$53)+SUMIF($D$5:$D$53,K36,$B$5:$B$53),"")</f>
        <v/>
      </c>
    </row>
    <row r="37" customFormat="false" ht="13.8" hidden="false" customHeight="false" outlineLevel="0" collapsed="false">
      <c r="A37" s="28"/>
      <c r="B37" s="19"/>
      <c r="C37" s="20"/>
      <c r="D37" s="21"/>
      <c r="E37" s="22" t="str">
        <f aca="false">IF(F37="X",E36+C37+B37,"")</f>
        <v/>
      </c>
      <c r="F37" s="23"/>
      <c r="K37" s="26"/>
      <c r="L37" s="29" t="str">
        <f aca="false">IF(Tableau732335[[#This Row],[PRATIQUE]]&lt;&gt;"",SUMIF($D$5:$D$53,K37,$C$5:$C$53)+SUMIF($D$5:$D$53,K37,$B$5:$B$53),"")</f>
        <v/>
      </c>
    </row>
    <row r="38" customFormat="false" ht="13.8" hidden="false" customHeight="false" outlineLevel="0" collapsed="false">
      <c r="A38" s="28"/>
      <c r="B38" s="19"/>
      <c r="C38" s="20"/>
      <c r="D38" s="21"/>
      <c r="E38" s="22" t="str">
        <f aca="false">IF(F38="X",E37+C38+B38,"")</f>
        <v/>
      </c>
      <c r="F38" s="23"/>
      <c r="K38" s="26"/>
      <c r="L38" s="29" t="str">
        <f aca="false">IF(Tableau732335[[#This Row],[PRATIQUE]]&lt;&gt;"",SUMIF($D$5:$D$53,K38,$C$5:$C$53)+SUMIF($D$5:$D$53,K38,$B$5:$B$53),"")</f>
        <v/>
      </c>
    </row>
    <row r="39" customFormat="false" ht="13.8" hidden="false" customHeight="false" outlineLevel="0" collapsed="false">
      <c r="A39" s="28"/>
      <c r="B39" s="19"/>
      <c r="C39" s="20"/>
      <c r="D39" s="21"/>
      <c r="E39" s="22" t="str">
        <f aca="false">IF(F39="X",E38+C39+B39,"")</f>
        <v/>
      </c>
      <c r="F39" s="23"/>
      <c r="K39" s="26"/>
      <c r="L39" s="29" t="str">
        <f aca="false">IF(Tableau732335[[#This Row],[PRATIQUE]]&lt;&gt;"",SUMIF($D$5:$D$53,K39,$C$5:$C$53)+SUMIF($D$5:$D$53,K39,$B$5:$B$53),"")</f>
        <v/>
      </c>
    </row>
    <row r="40" customFormat="false" ht="13.8" hidden="false" customHeight="false" outlineLevel="0" collapsed="false">
      <c r="A40" s="28"/>
      <c r="B40" s="19"/>
      <c r="C40" s="20"/>
      <c r="D40" s="21"/>
      <c r="E40" s="22" t="str">
        <f aca="false">IF(F40="X",#REF!+C40+B40,"")</f>
        <v/>
      </c>
      <c r="F40" s="23"/>
      <c r="K40" s="32"/>
      <c r="L40" s="32"/>
    </row>
    <row r="41" customFormat="false" ht="13.8" hidden="false" customHeight="false" outlineLevel="0" collapsed="false">
      <c r="A41" s="28"/>
      <c r="B41" s="19"/>
      <c r="C41" s="20"/>
      <c r="D41" s="21"/>
      <c r="E41" s="22" t="str">
        <f aca="false">IF(F41="X",E40+C41+B41,"")</f>
        <v/>
      </c>
      <c r="F41" s="23"/>
      <c r="K41" s="33" t="s">
        <v>41</v>
      </c>
      <c r="L41" s="29" t="n">
        <f aca="false">SUMIF(D5:D58,"Orange",C5:C58)+SUMIF(D5:D58,"TEGO",C5:C58)+SUMIF(D5:D58,"Carac",C5:C58)+SUMIF(D5:D58,"UNEO",C5:C58)+SUMIF(D5:D58,"Crédit Mutuel",C5:C58)+SUMIF(D5:D58,"Darkwood",C5:C58)+SUMIF(D5:D58,"Loyer",C5:C58)+SUMIF(D5:D58,"GoWod",C5:C58)+SUMIF(D5:D58,"EPARMIL",C5:C58)+SUMIF(D5:D58,"Virement Livret Bébé",C5:C58)</f>
        <v>0</v>
      </c>
    </row>
    <row r="42" customFormat="false" ht="13.8" hidden="false" customHeight="false" outlineLevel="0" collapsed="false">
      <c r="A42" s="28"/>
      <c r="B42" s="19"/>
      <c r="C42" s="20"/>
      <c r="D42" s="21"/>
      <c r="E42" s="22" t="str">
        <f aca="false">IF(F42="X",E41+C58+B42,"")</f>
        <v/>
      </c>
      <c r="F42" s="23"/>
      <c r="K42" s="34"/>
      <c r="L42" s="34"/>
    </row>
    <row r="43" customFormat="false" ht="13.8" hidden="false" customHeight="false" outlineLevel="0" collapsed="false">
      <c r="A43" s="28"/>
      <c r="B43" s="19"/>
      <c r="C43" s="20"/>
      <c r="D43" s="21"/>
      <c r="E43" s="22" t="str">
        <f aca="false">IF(F43="X",E42+C43+B43,"")</f>
        <v/>
      </c>
      <c r="F43" s="23"/>
      <c r="K43" s="35" t="s">
        <v>12</v>
      </c>
      <c r="L43" s="29" t="n">
        <f aca="false">SUM(L4:L40)</f>
        <v>0</v>
      </c>
    </row>
    <row r="44" customFormat="false" ht="13.8" hidden="false" customHeight="false" outlineLevel="0" collapsed="false">
      <c r="A44" s="28"/>
      <c r="B44" s="19"/>
      <c r="C44" s="20"/>
      <c r="D44" s="21"/>
      <c r="E44" s="22"/>
      <c r="F44" s="23"/>
      <c r="K44" s="35" t="s">
        <v>42</v>
      </c>
      <c r="L44" s="29" t="n">
        <f aca="false">I1+L43</f>
        <v>0</v>
      </c>
    </row>
    <row r="45" customFormat="false" ht="13.8" hidden="false" customHeight="false" outlineLevel="0" collapsed="false">
      <c r="A45" s="28"/>
      <c r="B45" s="19"/>
      <c r="C45" s="20"/>
      <c r="D45" s="21"/>
      <c r="E45" s="22"/>
      <c r="F45" s="23"/>
    </row>
    <row r="46" customFormat="false" ht="13.8" hidden="false" customHeight="false" outlineLevel="0" collapsed="false">
      <c r="A46" s="28"/>
      <c r="B46" s="19"/>
      <c r="C46" s="20"/>
      <c r="D46" s="21"/>
      <c r="E46" s="22" t="str">
        <f aca="false">IF(F46="X",E45+C46+B46,"")</f>
        <v/>
      </c>
      <c r="F46" s="23"/>
    </row>
    <row r="47" customFormat="false" ht="13.8" hidden="false" customHeight="false" outlineLevel="0" collapsed="false">
      <c r="A47" s="28"/>
      <c r="B47" s="19"/>
      <c r="C47" s="20"/>
      <c r="D47" s="21"/>
      <c r="E47" s="22" t="str">
        <f aca="false">IF(F47="X",E46+C47+B47,"")</f>
        <v/>
      </c>
      <c r="F47" s="23"/>
    </row>
    <row r="48" customFormat="false" ht="13.8" hidden="false" customHeight="false" outlineLevel="0" collapsed="false">
      <c r="A48" s="28"/>
      <c r="B48" s="19"/>
      <c r="C48" s="20"/>
      <c r="D48" s="21"/>
      <c r="E48" s="22" t="str">
        <f aca="false">IF(F48="X",E47+C48+B48,"")</f>
        <v/>
      </c>
      <c r="F48" s="23"/>
    </row>
    <row r="49" customFormat="false" ht="13.8" hidden="false" customHeight="false" outlineLevel="0" collapsed="false">
      <c r="A49" s="28"/>
      <c r="B49" s="19"/>
      <c r="C49" s="20"/>
      <c r="D49" s="21"/>
      <c r="E49" s="22" t="str">
        <f aca="false">IF(F49="X",E48+C49+B49,"")</f>
        <v/>
      </c>
      <c r="F49" s="23"/>
    </row>
    <row r="50" customFormat="false" ht="13.8" hidden="false" customHeight="false" outlineLevel="0" collapsed="false">
      <c r="A50" s="39"/>
      <c r="B50" s="19"/>
      <c r="C50" s="20"/>
      <c r="D50" s="21"/>
      <c r="E50" s="22"/>
      <c r="F50" s="27"/>
    </row>
    <row r="51" customFormat="false" ht="13.8" hidden="false" customHeight="false" outlineLevel="0" collapsed="false">
      <c r="A51" s="28"/>
      <c r="B51" s="19"/>
      <c r="C51" s="20"/>
      <c r="D51" s="21"/>
      <c r="E51" s="22" t="str">
        <f aca="false">IF(F51="X",E49+C51+B51,"")</f>
        <v/>
      </c>
      <c r="F51" s="23"/>
    </row>
    <row r="52" customFormat="false" ht="13.8" hidden="false" customHeight="false" outlineLevel="0" collapsed="false">
      <c r="A52" s="28"/>
      <c r="B52" s="19"/>
      <c r="C52" s="20"/>
      <c r="D52" s="21"/>
      <c r="E52" s="22" t="str">
        <f aca="false">IF(F52="X",E51+C52+B52,"")</f>
        <v/>
      </c>
      <c r="F52" s="23"/>
    </row>
    <row r="53" customFormat="false" ht="13.8" hidden="false" customHeight="false" outlineLevel="0" collapsed="false">
      <c r="A53" s="28"/>
      <c r="B53" s="19"/>
      <c r="C53" s="20"/>
      <c r="D53" s="21"/>
      <c r="E53" s="22" t="str">
        <f aca="false">IF(F53="X",E52+C53+B53,"")</f>
        <v/>
      </c>
      <c r="F53" s="23"/>
    </row>
    <row r="54" customFormat="false" ht="13.8" hidden="false" customHeight="false" outlineLevel="0" collapsed="false">
      <c r="A54" s="28"/>
      <c r="B54" s="19"/>
      <c r="C54" s="20"/>
      <c r="D54" s="21"/>
      <c r="E54" s="22" t="str">
        <f aca="false">IF(F54="X",E53+C54+B54,"")</f>
        <v/>
      </c>
      <c r="F54" s="23"/>
    </row>
    <row r="55" customFormat="false" ht="13.8" hidden="false" customHeight="false" outlineLevel="0" collapsed="false">
      <c r="A55" s="28"/>
      <c r="B55" s="19"/>
      <c r="C55" s="20"/>
      <c r="D55" s="21"/>
      <c r="E55" s="22" t="str">
        <f aca="false">IF(F55="X",E54+C55+B55,"")</f>
        <v/>
      </c>
      <c r="F55" s="23"/>
    </row>
    <row r="56" customFormat="false" ht="13.8" hidden="false" customHeight="false" outlineLevel="0" collapsed="false">
      <c r="A56" s="28"/>
      <c r="B56" s="19"/>
      <c r="C56" s="20"/>
      <c r="D56" s="21"/>
      <c r="E56" s="22" t="str">
        <f aca="false">IF(F56="X",E55+C56+B56,"")</f>
        <v/>
      </c>
      <c r="F56" s="23"/>
    </row>
    <row r="57" customFormat="false" ht="13.8" hidden="false" customHeight="false" outlineLevel="0" collapsed="false">
      <c r="A57" s="28"/>
      <c r="B57" s="19"/>
      <c r="C57" s="20"/>
      <c r="D57" s="21"/>
      <c r="E57" s="22" t="str">
        <f aca="false">IF(F57="X",E56+C57+B57,"")</f>
        <v/>
      </c>
      <c r="F57" s="23"/>
      <c r="J57" s="36"/>
    </row>
    <row r="58" customFormat="false" ht="13.8" hidden="false" customHeight="false" outlineLevel="0" collapsed="false">
      <c r="A58" s="28"/>
      <c r="B58" s="19"/>
      <c r="C58" s="20"/>
      <c r="D58" s="21"/>
      <c r="E58" s="22" t="str">
        <f aca="false">IF(F58="X",E57+C58+B58,"")</f>
        <v/>
      </c>
      <c r="F58" s="27"/>
    </row>
    <row r="59" customFormat="false" ht="13.8" hidden="false" customHeight="false" outlineLevel="0" collapsed="false">
      <c r="A59" s="39"/>
      <c r="B59" s="19"/>
      <c r="C59" s="20"/>
      <c r="D59" s="21"/>
      <c r="E59" s="22" t="str">
        <f aca="false">IF(F59="X",E58+C59+B59,"")</f>
        <v/>
      </c>
      <c r="F59" s="27"/>
    </row>
    <row r="60" customFormat="false" ht="13.8" hidden="false" customHeight="false" outlineLevel="0" collapsed="false">
      <c r="A60" s="39"/>
      <c r="B60" s="19"/>
      <c r="C60" s="20"/>
      <c r="D60" s="21"/>
      <c r="E60" s="22" t="str">
        <f aca="false">IF(F60="X",E59+C60+B60,"")</f>
        <v/>
      </c>
      <c r="F60" s="27"/>
    </row>
    <row r="61" customFormat="false" ht="13.8" hidden="false" customHeight="false" outlineLevel="0" collapsed="false">
      <c r="A61" s="39"/>
      <c r="B61" s="19"/>
      <c r="C61" s="20"/>
      <c r="D61" s="21"/>
      <c r="E61" s="22" t="str">
        <f aca="false">IF(F61="X",E60+C61+B61,"")</f>
        <v/>
      </c>
      <c r="F61" s="27"/>
    </row>
    <row r="62" customFormat="false" ht="13.8" hidden="false" customHeight="false" outlineLevel="0" collapsed="false">
      <c r="A62" s="39"/>
      <c r="B62" s="19"/>
      <c r="C62" s="20"/>
      <c r="D62" s="21"/>
      <c r="E62" s="22" t="str">
        <f aca="false">IF(F62="X",E61+C62+B62,"")</f>
        <v/>
      </c>
      <c r="F62" s="27"/>
    </row>
    <row r="63" customFormat="false" ht="13.8" hidden="false" customHeight="false" outlineLevel="0" collapsed="false">
      <c r="A63" s="39"/>
      <c r="B63" s="19"/>
      <c r="C63" s="20"/>
      <c r="D63" s="21"/>
      <c r="E63" s="22" t="str">
        <f aca="false">IF(F63="X",E62+C63+B63,"")</f>
        <v/>
      </c>
      <c r="F63" s="27"/>
    </row>
    <row r="64" customFormat="false" ht="13.8" hidden="false" customHeight="false" outlineLevel="0" collapsed="false">
      <c r="A64" s="39"/>
      <c r="B64" s="19"/>
      <c r="C64" s="20"/>
      <c r="D64" s="21"/>
      <c r="E64" s="22" t="str">
        <f aca="false">IF(F64="X",E63+C64+B64,"")</f>
        <v/>
      </c>
      <c r="F64" s="27"/>
    </row>
    <row r="65" customFormat="false" ht="13.8" hidden="false" customHeight="false" outlineLevel="0" collapsed="false">
      <c r="A65" s="39"/>
      <c r="B65" s="19"/>
      <c r="C65" s="20"/>
      <c r="D65" s="21"/>
      <c r="E65" s="22" t="str">
        <f aca="false">IF(F65="X",E64+C65+B65,"")</f>
        <v/>
      </c>
      <c r="F65" s="27"/>
    </row>
    <row r="66" customFormat="false" ht="13.8" hidden="false" customHeight="false" outlineLevel="0" collapsed="false">
      <c r="A66" s="39"/>
      <c r="B66" s="19"/>
      <c r="C66" s="20"/>
      <c r="D66" s="21"/>
      <c r="E66" s="22" t="str">
        <f aca="false">IF(F66="X",E65+C66+B66,"")</f>
        <v/>
      </c>
      <c r="F66" s="27"/>
    </row>
    <row r="67" customFormat="false" ht="13.8" hidden="false" customHeight="false" outlineLevel="0" collapsed="false">
      <c r="A67" s="39"/>
      <c r="B67" s="19"/>
      <c r="C67" s="20"/>
      <c r="D67" s="21"/>
      <c r="E67" s="22" t="str">
        <f aca="false">IF(F67="X",E66+C67+B67,"")</f>
        <v/>
      </c>
      <c r="F67" s="27"/>
    </row>
    <row r="68" customFormat="false" ht="13.8" hidden="false" customHeight="false" outlineLevel="0" collapsed="false">
      <c r="A68" s="39"/>
      <c r="B68" s="19"/>
      <c r="C68" s="20"/>
      <c r="D68" s="21"/>
      <c r="E68" s="22" t="str">
        <f aca="false">IF(F68="X",E67+C68+B68,"")</f>
        <v/>
      </c>
      <c r="F68" s="27"/>
    </row>
    <row r="69" customFormat="false" ht="13.8" hidden="false" customHeight="false" outlineLevel="0" collapsed="false">
      <c r="A69" s="39"/>
      <c r="B69" s="19"/>
      <c r="C69" s="20"/>
      <c r="D69" s="21"/>
      <c r="E69" s="22" t="str">
        <f aca="false">IF(F69="X",E68+C69+B69,"")</f>
        <v/>
      </c>
      <c r="F69" s="27"/>
    </row>
    <row r="70" customFormat="false" ht="13.8" hidden="false" customHeight="false" outlineLevel="0" collapsed="false">
      <c r="A70" s="39"/>
      <c r="B70" s="19"/>
      <c r="C70" s="20"/>
      <c r="D70" s="21"/>
      <c r="E70" s="22" t="str">
        <f aca="false">IF(F70="X",E69+C70+B70,"")</f>
        <v/>
      </c>
      <c r="F70" s="27"/>
    </row>
    <row r="71" customFormat="false" ht="13.8" hidden="false" customHeight="false" outlineLevel="0" collapsed="false">
      <c r="A71" s="59"/>
      <c r="B71" s="60"/>
      <c r="C71" s="61"/>
      <c r="D71" s="62"/>
      <c r="E71" s="22" t="str">
        <f aca="false">IF(F71="X",E70+C71+B71,"")</f>
        <v/>
      </c>
      <c r="F71" s="63"/>
    </row>
    <row r="1048575" customFormat="false" ht="12.8" hidden="false" customHeight="false" outlineLevel="0" collapsed="false"/>
    <row r="1048576" customFormat="false" ht="12.8" hidden="false" customHeight="false" outlineLevel="0" collapsed="false"/>
  </sheetData>
  <mergeCells count="1">
    <mergeCell ref="K42:L42"/>
  </mergeCells>
  <conditionalFormatting sqref="L41:L42">
    <cfRule type="cellIs" priority="2" operator="greaterThan" aboveAverage="0" equalAverage="0" bottom="0" percent="0" rank="0" text="" dxfId="889">
      <formula>0</formula>
    </cfRule>
    <cfRule type="cellIs" priority="3" operator="lessThan" aboveAverage="0" equalAverage="0" bottom="0" percent="0" rank="0" text="" dxfId="890">
      <formula>0</formula>
    </cfRule>
  </conditionalFormatting>
  <conditionalFormatting sqref="K37">
    <cfRule type="expression" priority="4" aboveAverage="0" equalAverage="0" bottom="0" percent="0" rank="0" text="" dxfId="891">
      <formula>L37&gt;0</formula>
    </cfRule>
    <cfRule type="expression" priority="5" aboveAverage="0" equalAverage="0" bottom="0" percent="0" rank="0" text="" dxfId="892">
      <formula>L37&lt;0</formula>
    </cfRule>
  </conditionalFormatting>
  <conditionalFormatting sqref="K36">
    <cfRule type="expression" priority="6" aboveAverage="0" equalAverage="0" bottom="0" percent="0" rank="0" text="" dxfId="893">
      <formula>L36&gt;0</formula>
    </cfRule>
    <cfRule type="expression" priority="7" aboveAverage="0" equalAverage="0" bottom="0" percent="0" rank="0" text="" dxfId="894">
      <formula>L36&lt;0</formula>
    </cfRule>
  </conditionalFormatting>
  <conditionalFormatting sqref="K35">
    <cfRule type="expression" priority="8" aboveAverage="0" equalAverage="0" bottom="0" percent="0" rank="0" text="" dxfId="895">
      <formula>L35&gt;0</formula>
    </cfRule>
    <cfRule type="expression" priority="9" aboveAverage="0" equalAverage="0" bottom="0" percent="0" rank="0" text="" dxfId="896">
      <formula>L35&lt;0</formula>
    </cfRule>
  </conditionalFormatting>
  <conditionalFormatting sqref="K34">
    <cfRule type="expression" priority="10" aboveAverage="0" equalAverage="0" bottom="0" percent="0" rank="0" text="" dxfId="897">
      <formula>L34&gt;0</formula>
    </cfRule>
    <cfRule type="expression" priority="11" aboveAverage="0" equalAverage="0" bottom="0" percent="0" rank="0" text="" dxfId="898">
      <formula>L34&lt;0</formula>
    </cfRule>
  </conditionalFormatting>
  <conditionalFormatting sqref="K33">
    <cfRule type="expression" priority="12" aboveAverage="0" equalAverage="0" bottom="0" percent="0" rank="0" text="" dxfId="899">
      <formula>L33&gt;0</formula>
    </cfRule>
    <cfRule type="expression" priority="13" aboveAverage="0" equalAverage="0" bottom="0" percent="0" rank="0" text="" dxfId="900">
      <formula>L33&lt;0</formula>
    </cfRule>
  </conditionalFormatting>
  <conditionalFormatting sqref="K32">
    <cfRule type="expression" priority="14" aboveAverage="0" equalAverage="0" bottom="0" percent="0" rank="0" text="" dxfId="901">
      <formula>L32&gt;0</formula>
    </cfRule>
    <cfRule type="expression" priority="15" aboveAverage="0" equalAverage="0" bottom="0" percent="0" rank="0" text="" dxfId="902">
      <formula>L32&lt;0</formula>
    </cfRule>
  </conditionalFormatting>
  <conditionalFormatting sqref="K31">
    <cfRule type="expression" priority="16" aboveAverage="0" equalAverage="0" bottom="0" percent="0" rank="0" text="" dxfId="903">
      <formula>L31&gt;0</formula>
    </cfRule>
    <cfRule type="expression" priority="17" aboveAverage="0" equalAverage="0" bottom="0" percent="0" rank="0" text="" dxfId="904">
      <formula>L31&lt;0</formula>
    </cfRule>
  </conditionalFormatting>
  <conditionalFormatting sqref="K30">
    <cfRule type="expression" priority="18" aboveAverage="0" equalAverage="0" bottom="0" percent="0" rank="0" text="" dxfId="905">
      <formula>L30&gt;0</formula>
    </cfRule>
    <cfRule type="expression" priority="19" aboveAverage="0" equalAverage="0" bottom="0" percent="0" rank="0" text="" dxfId="906">
      <formula>L30&lt;0</formula>
    </cfRule>
  </conditionalFormatting>
  <conditionalFormatting sqref="K29">
    <cfRule type="expression" priority="20" aboveAverage="0" equalAverage="0" bottom="0" percent="0" rank="0" text="" dxfId="907">
      <formula>L29&gt;0</formula>
    </cfRule>
    <cfRule type="expression" priority="21" aboveAverage="0" equalAverage="0" bottom="0" percent="0" rank="0" text="" dxfId="908">
      <formula>L29&lt;0</formula>
    </cfRule>
  </conditionalFormatting>
  <conditionalFormatting sqref="K28">
    <cfRule type="expression" priority="22" aboveAverage="0" equalAverage="0" bottom="0" percent="0" rank="0" text="" dxfId="909">
      <formula>L28&gt;0</formula>
    </cfRule>
    <cfRule type="expression" priority="23" aboveAverage="0" equalAverage="0" bottom="0" percent="0" rank="0" text="" dxfId="910">
      <formula>L28&lt;0</formula>
    </cfRule>
  </conditionalFormatting>
  <conditionalFormatting sqref="K27">
    <cfRule type="expression" priority="24" aboveAverage="0" equalAverage="0" bottom="0" percent="0" rank="0" text="" dxfId="911">
      <formula>L27&gt;0</formula>
    </cfRule>
    <cfRule type="expression" priority="25" aboveAverage="0" equalAverage="0" bottom="0" percent="0" rank="0" text="" dxfId="912">
      <formula>L27&lt;0</formula>
    </cfRule>
  </conditionalFormatting>
  <conditionalFormatting sqref="K26">
    <cfRule type="expression" priority="26" aboveAverage="0" equalAverage="0" bottom="0" percent="0" rank="0" text="" dxfId="913">
      <formula>L26&gt;0</formula>
    </cfRule>
    <cfRule type="expression" priority="27" aboveAverage="0" equalAverage="0" bottom="0" percent="0" rank="0" text="" dxfId="914">
      <formula>L26&lt;0</formula>
    </cfRule>
  </conditionalFormatting>
  <conditionalFormatting sqref="K25">
    <cfRule type="expression" priority="28" aboveAverage="0" equalAverage="0" bottom="0" percent="0" rank="0" text="" dxfId="915">
      <formula>L25&gt;0</formula>
    </cfRule>
    <cfRule type="expression" priority="29" aboveAverage="0" equalAverage="0" bottom="0" percent="0" rank="0" text="" dxfId="916">
      <formula>L25&lt;0</formula>
    </cfRule>
  </conditionalFormatting>
  <conditionalFormatting sqref="K24">
    <cfRule type="expression" priority="30" aboveAverage="0" equalAverage="0" bottom="0" percent="0" rank="0" text="" dxfId="917">
      <formula>L24&gt;0</formula>
    </cfRule>
    <cfRule type="expression" priority="31" aboveAverage="0" equalAverage="0" bottom="0" percent="0" rank="0" text="" dxfId="918">
      <formula>L24&lt;0</formula>
    </cfRule>
  </conditionalFormatting>
  <conditionalFormatting sqref="K23">
    <cfRule type="expression" priority="32" aboveAverage="0" equalAverage="0" bottom="0" percent="0" rank="0" text="" dxfId="919">
      <formula>L23&gt;0</formula>
    </cfRule>
    <cfRule type="expression" priority="33" aboveAverage="0" equalAverage="0" bottom="0" percent="0" rank="0" text="" dxfId="920">
      <formula>L23&lt;0</formula>
    </cfRule>
  </conditionalFormatting>
  <conditionalFormatting sqref="K22">
    <cfRule type="expression" priority="34" aboveAverage="0" equalAverage="0" bottom="0" percent="0" rank="0" text="" dxfId="921">
      <formula>L22&gt;0</formula>
    </cfRule>
    <cfRule type="expression" priority="35" aboveAverage="0" equalAverage="0" bottom="0" percent="0" rank="0" text="" dxfId="922">
      <formula>L22&lt;0</formula>
    </cfRule>
  </conditionalFormatting>
  <conditionalFormatting sqref="K21">
    <cfRule type="expression" priority="36" aboveAverage="0" equalAverage="0" bottom="0" percent="0" rank="0" text="" dxfId="923">
      <formula>L21&gt;0</formula>
    </cfRule>
    <cfRule type="expression" priority="37" aboveAverage="0" equalAverage="0" bottom="0" percent="0" rank="0" text="" dxfId="924">
      <formula>L21&lt;0</formula>
    </cfRule>
  </conditionalFormatting>
  <conditionalFormatting sqref="K20">
    <cfRule type="expression" priority="38" aboveAverage="0" equalAverage="0" bottom="0" percent="0" rank="0" text="" dxfId="925">
      <formula>L20&gt;0</formula>
    </cfRule>
    <cfRule type="expression" priority="39" aboveAverage="0" equalAverage="0" bottom="0" percent="0" rank="0" text="" dxfId="926">
      <formula>L20&lt;0</formula>
    </cfRule>
  </conditionalFormatting>
  <conditionalFormatting sqref="K19">
    <cfRule type="expression" priority="40" aboveAverage="0" equalAverage="0" bottom="0" percent="0" rank="0" text="" dxfId="927">
      <formula>L19&gt;0</formula>
    </cfRule>
    <cfRule type="expression" priority="41" aboveAverage="0" equalAverage="0" bottom="0" percent="0" rank="0" text="" dxfId="928">
      <formula>L19&lt;0</formula>
    </cfRule>
  </conditionalFormatting>
  <conditionalFormatting sqref="K17:K18">
    <cfRule type="expression" priority="42" aboveAverage="0" equalAverage="0" bottom="0" percent="0" rank="0" text="" dxfId="929">
      <formula>L17&gt;0</formula>
    </cfRule>
    <cfRule type="expression" priority="43" aboveAverage="0" equalAverage="0" bottom="0" percent="0" rank="0" text="" dxfId="930">
      <formula>L17&lt;0</formula>
    </cfRule>
  </conditionalFormatting>
  <conditionalFormatting sqref="K16">
    <cfRule type="expression" priority="44" aboveAverage="0" equalAverage="0" bottom="0" percent="0" rank="0" text="" dxfId="931">
      <formula>L16&gt;0</formula>
    </cfRule>
    <cfRule type="expression" priority="45" aboveAverage="0" equalAverage="0" bottom="0" percent="0" rank="0" text="" dxfId="932">
      <formula>L16&lt;0</formula>
    </cfRule>
  </conditionalFormatting>
  <conditionalFormatting sqref="K15">
    <cfRule type="expression" priority="46" aboveAverage="0" equalAverage="0" bottom="0" percent="0" rank="0" text="" dxfId="933">
      <formula>L15&gt;0</formula>
    </cfRule>
    <cfRule type="expression" priority="47" aboveAverage="0" equalAverage="0" bottom="0" percent="0" rank="0" text="" dxfId="934">
      <formula>L15&lt;0</formula>
    </cfRule>
  </conditionalFormatting>
  <conditionalFormatting sqref="K14">
    <cfRule type="expression" priority="48" aboveAverage="0" equalAverage="0" bottom="0" percent="0" rank="0" text="" dxfId="935">
      <formula>L14&gt;0</formula>
    </cfRule>
    <cfRule type="expression" priority="49" aboveAverage="0" equalAverage="0" bottom="0" percent="0" rank="0" text="" dxfId="936">
      <formula>L14&lt;0</formula>
    </cfRule>
  </conditionalFormatting>
  <conditionalFormatting sqref="K13">
    <cfRule type="expression" priority="50" aboveAverage="0" equalAverage="0" bottom="0" percent="0" rank="0" text="" dxfId="937">
      <formula>L13&gt;0</formula>
    </cfRule>
    <cfRule type="expression" priority="51" aboveAverage="0" equalAverage="0" bottom="0" percent="0" rank="0" text="" dxfId="938">
      <formula>L13&lt;0</formula>
    </cfRule>
  </conditionalFormatting>
  <conditionalFormatting sqref="K12">
    <cfRule type="expression" priority="52" aboveAverage="0" equalAverage="0" bottom="0" percent="0" rank="0" text="" dxfId="939">
      <formula>L12&gt;0</formula>
    </cfRule>
    <cfRule type="expression" priority="53" aboveAverage="0" equalAverage="0" bottom="0" percent="0" rank="0" text="" dxfId="940">
      <formula>L12&lt;0</formula>
    </cfRule>
  </conditionalFormatting>
  <conditionalFormatting sqref="K11">
    <cfRule type="expression" priority="54" aboveAverage="0" equalAverage="0" bottom="0" percent="0" rank="0" text="" dxfId="941">
      <formula>L11&gt;0</formula>
    </cfRule>
    <cfRule type="expression" priority="55" aboveAverage="0" equalAverage="0" bottom="0" percent="0" rank="0" text="" dxfId="942">
      <formula>L11&lt;0</formula>
    </cfRule>
  </conditionalFormatting>
  <conditionalFormatting sqref="K10">
    <cfRule type="expression" priority="56" aboveAverage="0" equalAverage="0" bottom="0" percent="0" rank="0" text="" dxfId="943">
      <formula>L10&gt;0</formula>
    </cfRule>
    <cfRule type="expression" priority="57" aboveAverage="0" equalAverage="0" bottom="0" percent="0" rank="0" text="" dxfId="944">
      <formula>L10&lt;0</formula>
    </cfRule>
  </conditionalFormatting>
  <conditionalFormatting sqref="K9">
    <cfRule type="expression" priority="58" aboveAverage="0" equalAverage="0" bottom="0" percent="0" rank="0" text="" dxfId="945">
      <formula>L9&gt;0</formula>
    </cfRule>
    <cfRule type="expression" priority="59" aboveAverage="0" equalAverage="0" bottom="0" percent="0" rank="0" text="" dxfId="946">
      <formula>L9&lt;0</formula>
    </cfRule>
  </conditionalFormatting>
  <conditionalFormatting sqref="K8">
    <cfRule type="expression" priority="60" aboveAverage="0" equalAverage="0" bottom="0" percent="0" rank="0" text="" dxfId="947">
      <formula>L8&gt;0</formula>
    </cfRule>
    <cfRule type="expression" priority="61" aboveAverage="0" equalAverage="0" bottom="0" percent="0" rank="0" text="" dxfId="948">
      <formula>L8&lt;0</formula>
    </cfRule>
  </conditionalFormatting>
  <conditionalFormatting sqref="K7">
    <cfRule type="expression" priority="62" aboveAverage="0" equalAverage="0" bottom="0" percent="0" rank="0" text="" dxfId="949">
      <formula>L7&gt;0</formula>
    </cfRule>
    <cfRule type="expression" priority="63" aboveAverage="0" equalAverage="0" bottom="0" percent="0" rank="0" text="" dxfId="950">
      <formula>L7&lt;0</formula>
    </cfRule>
  </conditionalFormatting>
  <conditionalFormatting sqref="K6">
    <cfRule type="expression" priority="64" aboveAverage="0" equalAverage="0" bottom="0" percent="0" rank="0" text="" dxfId="951">
      <formula>L6&gt;0</formula>
    </cfRule>
    <cfRule type="expression" priority="65" aboveAverage="0" equalAverage="0" bottom="0" percent="0" rank="0" text="" dxfId="952">
      <formula>L6&lt;0</formula>
    </cfRule>
  </conditionalFormatting>
  <conditionalFormatting sqref="K5">
    <cfRule type="expression" priority="66" aboveAverage="0" equalAverage="0" bottom="0" percent="0" rank="0" text="" dxfId="953">
      <formula>L5&gt;0</formula>
    </cfRule>
    <cfRule type="expression" priority="67" aboveAverage="0" equalAverage="0" bottom="0" percent="0" rank="0" text="" dxfId="954">
      <formula>L5&lt;0</formula>
    </cfRule>
  </conditionalFormatting>
  <conditionalFormatting sqref="K41:K42">
    <cfRule type="expression" priority="68" aboveAverage="0" equalAverage="0" bottom="0" percent="0" rank="0" text="" dxfId="955">
      <formula>L45&lt;0</formula>
    </cfRule>
    <cfRule type="expression" priority="69" aboveAverage="0" equalAverage="0" bottom="0" percent="0" rank="0" text="" dxfId="956">
      <formula>L45&gt;0</formula>
    </cfRule>
  </conditionalFormatting>
  <conditionalFormatting sqref="K39">
    <cfRule type="expression" priority="70" aboveAverage="0" equalAverage="0" bottom="0" percent="0" rank="0" text="" dxfId="957">
      <formula>L44&lt;0</formula>
    </cfRule>
    <cfRule type="expression" priority="71" aboveAverage="0" equalAverage="0" bottom="0" percent="0" rank="0" text="" dxfId="958">
      <formula>L44&gt;0</formula>
    </cfRule>
  </conditionalFormatting>
  <conditionalFormatting sqref="K38">
    <cfRule type="expression" priority="72" aboveAverage="0" equalAverage="0" bottom="0" percent="0" rank="0" text="" dxfId="959">
      <formula>L43&lt;0</formula>
    </cfRule>
    <cfRule type="expression" priority="73" aboveAverage="0" equalAverage="0" bottom="0" percent="0" rank="0" text="" dxfId="960">
      <formula>L43&gt;0</formula>
    </cfRule>
  </conditionalFormatting>
  <conditionalFormatting sqref="L30">
    <cfRule type="cellIs" priority="74" operator="lessThan" aboveAverage="0" equalAverage="0" bottom="0" percent="0" rank="0" text="" dxfId="961">
      <formula>0</formula>
    </cfRule>
    <cfRule type="cellIs" priority="75" operator="greaterThan" aboveAverage="0" equalAverage="0" bottom="0" percent="0" rank="0" text="" dxfId="962">
      <formula>0</formula>
    </cfRule>
  </conditionalFormatting>
  <conditionalFormatting sqref="L29">
    <cfRule type="cellIs" priority="76" operator="lessThan" aboveAverage="0" equalAverage="0" bottom="0" percent="0" rank="0" text="" dxfId="963">
      <formula>0</formula>
    </cfRule>
    <cfRule type="cellIs" priority="77" operator="greaterThan" aboveAverage="0" equalAverage="0" bottom="0" percent="0" rank="0" text="" dxfId="964">
      <formula>0</formula>
    </cfRule>
  </conditionalFormatting>
  <conditionalFormatting sqref="L28">
    <cfRule type="cellIs" priority="78" operator="lessThan" aboveAverage="0" equalAverage="0" bottom="0" percent="0" rank="0" text="" dxfId="965">
      <formula>0</formula>
    </cfRule>
    <cfRule type="cellIs" priority="79" operator="greaterThan" aboveAverage="0" equalAverage="0" bottom="0" percent="0" rank="0" text="" dxfId="966">
      <formula>0</formula>
    </cfRule>
  </conditionalFormatting>
  <conditionalFormatting sqref="L27">
    <cfRule type="cellIs" priority="80" operator="lessThan" aboveAverage="0" equalAverage="0" bottom="0" percent="0" rank="0" text="" dxfId="967">
      <formula>0</formula>
    </cfRule>
    <cfRule type="cellIs" priority="81" operator="greaterThan" aboveAverage="0" equalAverage="0" bottom="0" percent="0" rank="0" text="" dxfId="968">
      <formula>0</formula>
    </cfRule>
  </conditionalFormatting>
  <conditionalFormatting sqref="L26">
    <cfRule type="cellIs" priority="82" operator="lessThan" aboveAverage="0" equalAverage="0" bottom="0" percent="0" rank="0" text="" dxfId="969">
      <formula>0</formula>
    </cfRule>
    <cfRule type="cellIs" priority="83" operator="greaterThan" aboveAverage="0" equalAverage="0" bottom="0" percent="0" rank="0" text="" dxfId="970">
      <formula>0</formula>
    </cfRule>
  </conditionalFormatting>
  <conditionalFormatting sqref="L25">
    <cfRule type="cellIs" priority="84" operator="lessThan" aboveAverage="0" equalAverage="0" bottom="0" percent="0" rank="0" text="" dxfId="971">
      <formula>0</formula>
    </cfRule>
    <cfRule type="cellIs" priority="85" operator="greaterThan" aboveAverage="0" equalAverage="0" bottom="0" percent="0" rank="0" text="" dxfId="972">
      <formula>0</formula>
    </cfRule>
  </conditionalFormatting>
  <conditionalFormatting sqref="L6:L39 L42:L44">
    <cfRule type="cellIs" priority="86" operator="greaterThan" aboveAverage="0" equalAverage="0" bottom="0" percent="0" rank="0" text="" dxfId="973">
      <formula>0</formula>
    </cfRule>
    <cfRule type="cellIs" priority="87" operator="lessThan" aboveAverage="0" equalAverage="0" bottom="0" percent="0" rank="0" text="" dxfId="974">
      <formula>0</formula>
    </cfRule>
  </conditionalFormatting>
  <conditionalFormatting sqref="L44">
    <cfRule type="cellIs" priority="88" operator="greaterThan" aboveAverage="0" equalAverage="0" bottom="0" percent="0" rank="0" text="" dxfId="975">
      <formula>0</formula>
    </cfRule>
    <cfRule type="expression" priority="89" aboveAverage="0" equalAverage="0" bottom="0" percent="0" rank="0" text="" dxfId="976">
      <formula>$L$5:$L$43&lt;0</formula>
    </cfRule>
  </conditionalFormatting>
  <conditionalFormatting sqref="L24">
    <cfRule type="cellIs" priority="90" operator="lessThan" aboveAverage="0" equalAverage="0" bottom="0" percent="0" rank="0" text="" dxfId="95">
      <formula>0</formula>
    </cfRule>
    <cfRule type="cellIs" priority="91" operator="greaterThan" aboveAverage="0" equalAverage="0" bottom="0" percent="0" rank="0" text="" dxfId="96">
      <formula>0</formula>
    </cfRule>
  </conditionalFormatting>
  <conditionalFormatting sqref="L23">
    <cfRule type="cellIs" priority="92" operator="lessThan" aboveAverage="0" equalAverage="0" bottom="0" percent="0" rank="0" text="" dxfId="97">
      <formula>0</formula>
    </cfRule>
    <cfRule type="cellIs" priority="93" operator="greaterThan" aboveAverage="0" equalAverage="0" bottom="0" percent="0" rank="0" text="" dxfId="98">
      <formula>0</formula>
    </cfRule>
  </conditionalFormatting>
  <conditionalFormatting sqref="L22">
    <cfRule type="cellIs" priority="94" operator="lessThan" aboveAverage="0" equalAverage="0" bottom="0" percent="0" rank="0" text="" dxfId="99">
      <formula>0</formula>
    </cfRule>
    <cfRule type="cellIs" priority="95" operator="greaterThan" aboveAverage="0" equalAverage="0" bottom="0" percent="0" rank="0" text="" dxfId="100">
      <formula>0</formula>
    </cfRule>
  </conditionalFormatting>
  <conditionalFormatting sqref="L21">
    <cfRule type="cellIs" priority="96" operator="lessThan" aboveAverage="0" equalAverage="0" bottom="0" percent="0" rank="0" text="" dxfId="101">
      <formula>0</formula>
    </cfRule>
    <cfRule type="cellIs" priority="97" operator="greaterThan" aboveAverage="0" equalAverage="0" bottom="0" percent="0" rank="0" text="" dxfId="102">
      <formula>0</formula>
    </cfRule>
  </conditionalFormatting>
  <conditionalFormatting sqref="L20">
    <cfRule type="cellIs" priority="98" operator="lessThan" aboveAverage="0" equalAverage="0" bottom="0" percent="0" rank="0" text="" dxfId="103">
      <formula>0</formula>
    </cfRule>
    <cfRule type="cellIs" priority="99" operator="greaterThan" aboveAverage="0" equalAverage="0" bottom="0" percent="0" rank="0" text="" dxfId="104">
      <formula>0</formula>
    </cfRule>
  </conditionalFormatting>
  <conditionalFormatting sqref="L13">
    <cfRule type="cellIs" priority="100" operator="lessThan" aboveAverage="0" equalAverage="0" bottom="0" percent="0" rank="0" text="" dxfId="105">
      <formula>0</formula>
    </cfRule>
    <cfRule type="cellIs" priority="101" operator="greaterThan" aboveAverage="0" equalAverage="0" bottom="0" percent="0" rank="0" text="" dxfId="106">
      <formula>0</formula>
    </cfRule>
  </conditionalFormatting>
  <conditionalFormatting sqref="L12">
    <cfRule type="cellIs" priority="102" operator="lessThan" aboveAverage="0" equalAverage="0" bottom="0" percent="0" rank="0" text="" dxfId="107">
      <formula>0</formula>
    </cfRule>
    <cfRule type="cellIs" priority="103" operator="greaterThan" aboveAverage="0" equalAverage="0" bottom="0" percent="0" rank="0" text="" dxfId="108">
      <formula>0</formula>
    </cfRule>
  </conditionalFormatting>
  <conditionalFormatting sqref="L11">
    <cfRule type="cellIs" priority="104" operator="lessThan" aboveAverage="0" equalAverage="0" bottom="0" percent="0" rank="0" text="" dxfId="109">
      <formula>0</formula>
    </cfRule>
    <cfRule type="cellIs" priority="105" operator="greaterThan" aboveAverage="0" equalAverage="0" bottom="0" percent="0" rank="0" text="" dxfId="110">
      <formula>0</formula>
    </cfRule>
  </conditionalFormatting>
  <conditionalFormatting sqref="L10">
    <cfRule type="cellIs" priority="106" operator="lessThan" aboveAverage="0" equalAverage="0" bottom="0" percent="0" rank="0" text="" dxfId="111">
      <formula>0</formula>
    </cfRule>
    <cfRule type="cellIs" priority="107" operator="greaterThan" aboveAverage="0" equalAverage="0" bottom="0" percent="0" rank="0" text="" dxfId="112">
      <formula>0</formula>
    </cfRule>
  </conditionalFormatting>
  <conditionalFormatting sqref="L9">
    <cfRule type="cellIs" priority="108" operator="lessThan" aboveAverage="0" equalAverage="0" bottom="0" percent="0" rank="0" text="" dxfId="113">
      <formula>0</formula>
    </cfRule>
    <cfRule type="cellIs" priority="109" operator="greaterThan" aboveAverage="0" equalAverage="0" bottom="0" percent="0" rank="0" text="" dxfId="114">
      <formula>0</formula>
    </cfRule>
  </conditionalFormatting>
  <conditionalFormatting sqref="L8">
    <cfRule type="cellIs" priority="110" operator="lessThan" aboveAverage="0" equalAverage="0" bottom="0" percent="0" rank="0" text="" dxfId="115">
      <formula>0</formula>
    </cfRule>
    <cfRule type="cellIs" priority="111" operator="greaterThan" aboveAverage="0" equalAverage="0" bottom="0" percent="0" rank="0" text="" dxfId="116">
      <formula>0</formula>
    </cfRule>
  </conditionalFormatting>
  <conditionalFormatting sqref="L7">
    <cfRule type="cellIs" priority="112" operator="lessThan" aboveAverage="0" equalAverage="0" bottom="0" percent="0" rank="0" text="" dxfId="117">
      <formula>0</formula>
    </cfRule>
    <cfRule type="cellIs" priority="113" operator="greaterThan" aboveAverage="0" equalAverage="0" bottom="0" percent="0" rank="0" text="" dxfId="118">
      <formula>0</formula>
    </cfRule>
  </conditionalFormatting>
  <conditionalFormatting sqref="L6">
    <cfRule type="cellIs" priority="114" operator="lessThan" aboveAverage="0" equalAverage="0" bottom="0" percent="0" rank="0" text="" dxfId="119">
      <formula>0</formula>
    </cfRule>
    <cfRule type="cellIs" priority="115" operator="greaterThan" aboveAverage="0" equalAverage="0" bottom="0" percent="0" rank="0" text="" dxfId="120">
      <formula>0</formula>
    </cfRule>
  </conditionalFormatting>
  <conditionalFormatting sqref="L5">
    <cfRule type="cellIs" priority="116" operator="lessThan" aboveAverage="0" equalAverage="0" bottom="0" percent="0" rank="0" text="" dxfId="121">
      <formula>0</formula>
    </cfRule>
    <cfRule type="cellIs" priority="117" operator="greaterThan" aboveAverage="0" equalAverage="0" bottom="0" percent="0" rank="0" text="" dxfId="122">
      <formula>0</formula>
    </cfRule>
  </conditionalFormatting>
  <conditionalFormatting sqref="L5:L24">
    <cfRule type="cellIs" priority="118" operator="greaterThan" aboveAverage="0" equalAverage="0" bottom="0" percent="0" rank="0" text="" dxfId="123">
      <formula>0</formula>
    </cfRule>
    <cfRule type="cellIs" priority="119" operator="lessThan" aboveAverage="0" equalAverage="0" bottom="0" percent="0" rank="0" text="" dxfId="124">
      <formula>0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" activeCellId="0" sqref="E1"/>
    </sheetView>
  </sheetViews>
  <sheetFormatPr defaultColWidth="11.4453125" defaultRowHeight="14.25" zeroHeight="false" outlineLevelRow="0" outlineLevelCol="0"/>
  <cols>
    <col collapsed="false" customWidth="true" hidden="false" outlineLevel="0" max="1" min="1" style="1" width="13.88"/>
    <col collapsed="false" customWidth="false" hidden="false" outlineLevel="0" max="3" min="2" style="1" width="11.44"/>
    <col collapsed="false" customWidth="true" hidden="false" outlineLevel="0" max="4" min="4" style="1" width="25.88"/>
    <col collapsed="false" customWidth="true" hidden="false" outlineLevel="0" max="5" min="5" style="1" width="12.88"/>
    <col collapsed="false" customWidth="true" hidden="false" outlineLevel="0" max="6" min="6" style="1" width="8.88"/>
    <col collapsed="false" customWidth="false" hidden="false" outlineLevel="0" max="7" min="7" style="1" width="11.44"/>
    <col collapsed="false" customWidth="true" hidden="false" outlineLevel="0" max="8" min="8" style="1" width="15.56"/>
    <col collapsed="false" customWidth="false" hidden="false" outlineLevel="0" max="10" min="9" style="1" width="11.44"/>
    <col collapsed="false" customWidth="true" hidden="false" outlineLevel="0" max="11" min="11" style="1" width="25.67"/>
    <col collapsed="false" customWidth="true" hidden="false" outlineLevel="0" max="12" min="12" style="1" width="11.56"/>
    <col collapsed="false" customWidth="false" hidden="false" outlineLevel="0" max="13" min="13" style="1" width="11.44"/>
    <col collapsed="false" customWidth="true" hidden="false" outlineLevel="0" max="14" min="14" style="1" width="25.56"/>
    <col collapsed="false" customWidth="false" hidden="false" outlineLevel="0" max="16384" min="15" style="1" width="11.44"/>
  </cols>
  <sheetData>
    <row r="1" customFormat="false" ht="14.25" hidden="false" customHeight="false" outlineLevel="0" collapsed="false">
      <c r="A1" s="2" t="s">
        <v>0</v>
      </c>
      <c r="B1" s="3"/>
      <c r="D1" s="4" t="s">
        <v>1</v>
      </c>
      <c r="E1" s="3" t="n">
        <f aca="false">SUM(C5:C67)+SUM(B5:B67)-SUMIF(Tableau3[Raison],"Salaire",Tableau3[Crédit])</f>
        <v>0</v>
      </c>
      <c r="F1" s="5"/>
      <c r="G1" s="6"/>
      <c r="H1" s="4" t="s">
        <v>54</v>
      </c>
      <c r="I1" s="3" t="n">
        <f aca="false">SUMIF(Tableau3[Raison],"Salaire",Tableau3[Crédit])</f>
        <v>0</v>
      </c>
    </row>
    <row r="2" customFormat="false" ht="15" hidden="false" customHeight="false" outlineLevel="0" collapsed="false">
      <c r="A2" s="2" t="s">
        <v>3</v>
      </c>
      <c r="B2" s="3"/>
      <c r="D2" s="4" t="s">
        <v>4</v>
      </c>
      <c r="E2" s="3" t="n">
        <f aca="false">I1+E1</f>
        <v>0</v>
      </c>
      <c r="F2" s="7"/>
      <c r="G2" s="8" t="e">
        <f aca="false">(100/I1)*E2/100</f>
        <v>#DIV/0!</v>
      </c>
    </row>
    <row r="3" customFormat="false" ht="14.25" hidden="false" customHeight="false" outlineLevel="0" collapsed="false">
      <c r="F3" s="9"/>
    </row>
    <row r="4" customFormat="false" ht="13.8" hidden="false" customHeight="false" outlineLevel="0" collapsed="false">
      <c r="A4" s="96" t="s">
        <v>5</v>
      </c>
      <c r="B4" s="97" t="s">
        <v>6</v>
      </c>
      <c r="C4" s="98" t="s">
        <v>7</v>
      </c>
      <c r="D4" s="99" t="s">
        <v>8</v>
      </c>
      <c r="E4" s="100" t="s">
        <v>9</v>
      </c>
      <c r="F4" s="101" t="s">
        <v>10</v>
      </c>
      <c r="G4" s="102"/>
      <c r="K4" s="103" t="s">
        <v>11</v>
      </c>
      <c r="L4" s="104" t="s">
        <v>12</v>
      </c>
    </row>
    <row r="5" customFormat="false" ht="13.8" hidden="false" customHeight="false" outlineLevel="0" collapsed="false">
      <c r="A5" s="105"/>
      <c r="B5" s="19"/>
      <c r="C5" s="20"/>
      <c r="D5" s="21"/>
      <c r="E5" s="22" t="str">
        <f aca="false">IF(F5="X",B1+C5+B5,"")</f>
        <v/>
      </c>
      <c r="F5" s="106"/>
      <c r="K5" s="107"/>
      <c r="L5" s="25" t="n">
        <f aca="false">IF(K5&lt;&gt;"",SUMIF($D$5:$D$55,K5,$C$5:$C$55)+SUMIF($D$5:$D$55,K5,$B$5:$B$55))</f>
        <v>0</v>
      </c>
    </row>
    <row r="6" customFormat="false" ht="13.8" hidden="false" customHeight="false" outlineLevel="0" collapsed="false">
      <c r="A6" s="105"/>
      <c r="B6" s="19"/>
      <c r="C6" s="20"/>
      <c r="D6" s="21"/>
      <c r="E6" s="22" t="str">
        <f aca="false">IF(F6="X",E5+C6+B6,"")</f>
        <v/>
      </c>
      <c r="F6" s="106"/>
      <c r="K6" s="107"/>
      <c r="L6" s="25" t="str">
        <f aca="false">IF(K6&lt;&gt;"",SUMIF($D$5:$D$55,K6,$C$5:$C$55)+SUMIF($D$5:$D$55,K6,$B$5:$B$55),"")</f>
        <v/>
      </c>
    </row>
    <row r="7" customFormat="false" ht="13.8" hidden="false" customHeight="false" outlineLevel="0" collapsed="false">
      <c r="A7" s="105"/>
      <c r="B7" s="19"/>
      <c r="C7" s="20"/>
      <c r="D7" s="21"/>
      <c r="E7" s="22" t="str">
        <f aca="false">IF(F7="X",E6+C7+B7,"")</f>
        <v/>
      </c>
      <c r="F7" s="106"/>
      <c r="K7" s="107"/>
      <c r="L7" s="25" t="str">
        <f aca="false">IF(K7&lt;&gt;"",SUMIF($D$5:$D$55,K7,$C$5:$C$55)+SUMIF($D$5:$D$55,K7,$B$5:$B$55),"")</f>
        <v/>
      </c>
    </row>
    <row r="8" customFormat="false" ht="13.8" hidden="false" customHeight="false" outlineLevel="0" collapsed="false">
      <c r="A8" s="105"/>
      <c r="B8" s="19"/>
      <c r="C8" s="20"/>
      <c r="D8" s="21"/>
      <c r="E8" s="22" t="str">
        <f aca="false">IF(F8="X",E7+C8+B8,"")</f>
        <v/>
      </c>
      <c r="F8" s="106"/>
      <c r="K8" s="107"/>
      <c r="L8" s="25" t="str">
        <f aca="false">IF(K8&lt;&gt;"",SUMIF($D$5:$D$55,K8,$C$5:$C$55)+SUMIF($D$5:$D$55,K8,$B$5:$B$55),"")</f>
        <v/>
      </c>
    </row>
    <row r="9" customFormat="false" ht="13.8" hidden="false" customHeight="false" outlineLevel="0" collapsed="false">
      <c r="A9" s="105"/>
      <c r="B9" s="19"/>
      <c r="C9" s="20"/>
      <c r="D9" s="21"/>
      <c r="E9" s="22" t="str">
        <f aca="false">IF(F9="X",E8+C9+B9,"")</f>
        <v/>
      </c>
      <c r="F9" s="106"/>
      <c r="K9" s="107"/>
      <c r="L9" s="25" t="str">
        <f aca="false">IF(K9&lt;&gt;"",SUMIF($D$5:$D$55,K9,$C$5:$C$55)+SUMIF($D$5:$D$55,K9,$B$5:$B$55),"")</f>
        <v/>
      </c>
    </row>
    <row r="10" customFormat="false" ht="13.8" hidden="false" customHeight="false" outlineLevel="0" collapsed="false">
      <c r="A10" s="105"/>
      <c r="B10" s="30"/>
      <c r="C10" s="31"/>
      <c r="D10" s="21"/>
      <c r="E10" s="22" t="str">
        <f aca="false">IF(F10="X",E9+C10+B10,"")</f>
        <v/>
      </c>
      <c r="F10" s="106"/>
      <c r="K10" s="107"/>
      <c r="L10" s="25" t="str">
        <f aca="false">IF(K10&lt;&gt;"",SUMIF($D$5:$D$55,K10,$C$5:$C$55)+SUMIF($D$5:$D$55,K10,$B$5:$B$55),"")</f>
        <v/>
      </c>
    </row>
    <row r="11" customFormat="false" ht="13.8" hidden="false" customHeight="false" outlineLevel="0" collapsed="false">
      <c r="A11" s="105"/>
      <c r="B11" s="19"/>
      <c r="C11" s="20"/>
      <c r="D11" s="21"/>
      <c r="E11" s="22" t="str">
        <f aca="false">IF(F11="X",E10+C11+B11,"")</f>
        <v/>
      </c>
      <c r="F11" s="106"/>
      <c r="K11" s="107"/>
      <c r="L11" s="25" t="str">
        <f aca="false">IF(K11&lt;&gt;"",SUMIF($D$5:$D$55,K11,$C$5:$C$55)+SUMIF($D$5:$D$55,K11,$B$5:$B$55),"")</f>
        <v/>
      </c>
    </row>
    <row r="12" customFormat="false" ht="13.8" hidden="false" customHeight="false" outlineLevel="0" collapsed="false">
      <c r="A12" s="105"/>
      <c r="B12" s="19"/>
      <c r="C12" s="20"/>
      <c r="D12" s="21"/>
      <c r="E12" s="22" t="str">
        <f aca="false">IF(F12="X",E11+C12+B12,"")</f>
        <v/>
      </c>
      <c r="F12" s="106"/>
      <c r="K12" s="107"/>
      <c r="L12" s="25" t="str">
        <f aca="false">IF(K12&lt;&gt;"",SUMIF($D$5:$D$55,K12,$C$5:$C$55)+SUMIF($D$5:$D$55,K12,$B$5:$B$55),"")</f>
        <v/>
      </c>
    </row>
    <row r="13" customFormat="false" ht="13.8" hidden="false" customHeight="false" outlineLevel="0" collapsed="false">
      <c r="A13" s="105"/>
      <c r="B13" s="19"/>
      <c r="C13" s="20"/>
      <c r="D13" s="21"/>
      <c r="E13" s="22" t="str">
        <f aca="false">IF(F13="X",E12+C13+B13,"")</f>
        <v/>
      </c>
      <c r="F13" s="106"/>
      <c r="K13" s="107"/>
      <c r="L13" s="25" t="str">
        <f aca="false">IF(K13&lt;&gt;"",SUMIF($D$5:$D$55,K13,$C$5:$C$55)+SUMIF($D$5:$D$55,K13,$B$5:$B$55),"")</f>
        <v/>
      </c>
    </row>
    <row r="14" customFormat="false" ht="13.8" hidden="false" customHeight="false" outlineLevel="0" collapsed="false">
      <c r="A14" s="105"/>
      <c r="B14" s="19"/>
      <c r="C14" s="20"/>
      <c r="D14" s="21"/>
      <c r="E14" s="22" t="str">
        <f aca="false">IF(F14="X",E13+C14+B14,"")</f>
        <v/>
      </c>
      <c r="F14" s="106"/>
      <c r="K14" s="107"/>
      <c r="L14" s="25" t="str">
        <f aca="false">IF(K14&lt;&gt;"",SUMIF($D$5:$D$55,K14,$C$5:$C$55)+SUMIF($D$5:$D$55,K14,$B$5:$B$55),"")</f>
        <v/>
      </c>
    </row>
    <row r="15" customFormat="false" ht="13.8" hidden="false" customHeight="false" outlineLevel="0" collapsed="false">
      <c r="A15" s="105"/>
      <c r="B15" s="19"/>
      <c r="C15" s="20"/>
      <c r="D15" s="21"/>
      <c r="E15" s="22" t="str">
        <f aca="false">IF(F15="X",E14+C15+B15,"")</f>
        <v/>
      </c>
      <c r="F15" s="106"/>
      <c r="K15" s="107"/>
      <c r="L15" s="25" t="str">
        <f aca="false">IF(K15&lt;&gt;"",SUMIF($D$5:$D$55,K15,$C$5:$C$55)+SUMIF($D$5:$D$55,K15,$B$5:$B$55),"")</f>
        <v/>
      </c>
    </row>
    <row r="16" customFormat="false" ht="13.8" hidden="false" customHeight="false" outlineLevel="0" collapsed="false">
      <c r="A16" s="105"/>
      <c r="B16" s="19"/>
      <c r="C16" s="20"/>
      <c r="D16" s="21"/>
      <c r="E16" s="22" t="str">
        <f aca="false">IF(F16="X",E15+C16+B16,"")</f>
        <v/>
      </c>
      <c r="F16" s="106"/>
      <c r="K16" s="107"/>
      <c r="L16" s="25" t="str">
        <f aca="false">IF(K16&lt;&gt;"",SUMIF($D$5:$D$55,K16,$C$5:$C$55)+SUMIF($D$5:$D$55,K16,$B$5:$B$55),"")</f>
        <v/>
      </c>
    </row>
    <row r="17" customFormat="false" ht="13.8" hidden="false" customHeight="false" outlineLevel="0" collapsed="false">
      <c r="A17" s="105"/>
      <c r="B17" s="19"/>
      <c r="C17" s="20"/>
      <c r="D17" s="21"/>
      <c r="E17" s="22" t="str">
        <f aca="false">IF(F17="X",E16+C17+B17,"")</f>
        <v/>
      </c>
      <c r="F17" s="106"/>
      <c r="K17" s="107"/>
      <c r="L17" s="25" t="str">
        <f aca="false">IF(K17&lt;&gt;"",SUMIF($D$5:$D$55,K17,$C$5:$C$55)+SUMIF($D$5:$D$55,K17,$B$5:$B$55),"")</f>
        <v/>
      </c>
    </row>
    <row r="18" customFormat="false" ht="13.8" hidden="false" customHeight="false" outlineLevel="0" collapsed="false">
      <c r="A18" s="105"/>
      <c r="B18" s="19"/>
      <c r="C18" s="20"/>
      <c r="D18" s="21"/>
      <c r="E18" s="22" t="str">
        <f aca="false">IF(F18="X",E17+C18+B18,"")</f>
        <v/>
      </c>
      <c r="F18" s="106"/>
      <c r="K18" s="107"/>
      <c r="L18" s="25" t="str">
        <f aca="false">IF(K18&lt;&gt;"",SUMIF($D$5:$D$55,K18,$C$5:$C$55)+SUMIF($D$5:$D$55,K18,$B$5:$B$55),"")</f>
        <v/>
      </c>
    </row>
    <row r="19" customFormat="false" ht="13.8" hidden="false" customHeight="false" outlineLevel="0" collapsed="false">
      <c r="A19" s="105"/>
      <c r="B19" s="19"/>
      <c r="C19" s="20"/>
      <c r="D19" s="21"/>
      <c r="E19" s="22" t="str">
        <f aca="false">IF(F19="X",E18+C19+B19,"")</f>
        <v/>
      </c>
      <c r="F19" s="106"/>
      <c r="K19" s="107"/>
      <c r="L19" s="25" t="str">
        <f aca="false">IF(K19&lt;&gt;"",SUMIF($D$5:$D$55,K19,$C$5:$C$55)+SUMIF($D$5:$D$55,K19,$B$5:$B$55),"")</f>
        <v/>
      </c>
    </row>
    <row r="20" customFormat="false" ht="13.8" hidden="false" customHeight="false" outlineLevel="0" collapsed="false">
      <c r="A20" s="105"/>
      <c r="B20" s="19"/>
      <c r="C20" s="20"/>
      <c r="D20" s="21"/>
      <c r="E20" s="22" t="str">
        <f aca="false">IF(F20="X",E19+C20+B20,"")</f>
        <v/>
      </c>
      <c r="F20" s="106"/>
      <c r="K20" s="107"/>
      <c r="L20" s="25" t="str">
        <f aca="false">IF(K20&lt;&gt;"",SUMIF($D$5:$D$55,K20,$C$5:$C$55)+SUMIF($D$5:$D$55,K20,$B$5:$B$55),"")</f>
        <v/>
      </c>
    </row>
    <row r="21" customFormat="false" ht="13.8" hidden="false" customHeight="false" outlineLevel="0" collapsed="false">
      <c r="A21" s="105"/>
      <c r="B21" s="19"/>
      <c r="C21" s="20"/>
      <c r="D21" s="21"/>
      <c r="E21" s="22" t="str">
        <f aca="false">IF(F21="X",E20+C21+B21,"")</f>
        <v/>
      </c>
      <c r="F21" s="106"/>
      <c r="K21" s="107"/>
      <c r="L21" s="25" t="str">
        <f aca="false">IF(K21&lt;&gt;"",SUMIF($D$5:$D$55,K21,$C$5:$C$55)+SUMIF($D$5:$D$55,K21,$B$5:$B$55),"")</f>
        <v/>
      </c>
    </row>
    <row r="22" customFormat="false" ht="13.8" hidden="false" customHeight="false" outlineLevel="0" collapsed="false">
      <c r="A22" s="105"/>
      <c r="B22" s="19"/>
      <c r="C22" s="20"/>
      <c r="D22" s="21"/>
      <c r="E22" s="22" t="str">
        <f aca="false">IF(F22="X",E21+C22+B22,"")</f>
        <v/>
      </c>
      <c r="F22" s="106"/>
      <c r="K22" s="107"/>
      <c r="L22" s="25" t="str">
        <f aca="false">IF(K22&lt;&gt;"",SUMIF($D$5:$D$55,K22,$C$5:$C$55)+SUMIF($D$5:$D$55,K22,$B$5:$B$55),"")</f>
        <v/>
      </c>
    </row>
    <row r="23" customFormat="false" ht="13.8" hidden="false" customHeight="false" outlineLevel="0" collapsed="false">
      <c r="A23" s="108"/>
      <c r="B23" s="19"/>
      <c r="C23" s="20"/>
      <c r="D23" s="21"/>
      <c r="E23" s="22" t="str">
        <f aca="false">IF(F23="X",E22+C23+B23,"")</f>
        <v/>
      </c>
      <c r="F23" s="106"/>
      <c r="K23" s="107"/>
      <c r="L23" s="25" t="str">
        <f aca="false">IF(K23&lt;&gt;"",SUMIF($D$5:$D$55,K23,$C$5:$C$55)+SUMIF($D$5:$D$55,K23,$B$5:$B$55),"")</f>
        <v/>
      </c>
    </row>
    <row r="24" customFormat="false" ht="13.8" hidden="false" customHeight="false" outlineLevel="0" collapsed="false">
      <c r="A24" s="108"/>
      <c r="B24" s="19"/>
      <c r="C24" s="20"/>
      <c r="D24" s="21"/>
      <c r="E24" s="22" t="str">
        <f aca="false">IF(F24="X",E23+C24+B24,"")</f>
        <v/>
      </c>
      <c r="F24" s="106"/>
      <c r="K24" s="107"/>
      <c r="L24" s="25" t="str">
        <f aca="false">IF(K24&lt;&gt;"",SUMIF($D$5:$D$55,K24,$C$5:$C$55)+SUMIF($D$5:$D$55,K24,$B$5:$B$55),"")</f>
        <v/>
      </c>
    </row>
    <row r="25" customFormat="false" ht="13.8" hidden="false" customHeight="false" outlineLevel="0" collapsed="false">
      <c r="A25" s="108"/>
      <c r="B25" s="19"/>
      <c r="C25" s="20"/>
      <c r="D25" s="21"/>
      <c r="E25" s="22" t="str">
        <f aca="false">IF(F25="X",E24+C25+B25,"")</f>
        <v/>
      </c>
      <c r="F25" s="106"/>
      <c r="K25" s="107"/>
      <c r="L25" s="25" t="str">
        <f aca="false">IF(K25&lt;&gt;"",SUMIF($D$5:$D$55,K25,$C$5:$C$55)+SUMIF($D$5:$D$55,K25,$B$5:$B$55),"")</f>
        <v/>
      </c>
    </row>
    <row r="26" customFormat="false" ht="13.8" hidden="false" customHeight="false" outlineLevel="0" collapsed="false">
      <c r="A26" s="108"/>
      <c r="B26" s="19"/>
      <c r="C26" s="20"/>
      <c r="D26" s="21"/>
      <c r="E26" s="22" t="str">
        <f aca="false">IF(F26="X",E25+C26+B26,"")</f>
        <v/>
      </c>
      <c r="F26" s="109"/>
      <c r="K26" s="107"/>
      <c r="L26" s="25" t="str">
        <f aca="false">IF(K26&lt;&gt;"",SUMIF($D$5:$D$55,K26,$C$5:$C$55)+SUMIF($D$5:$D$55,K26,$B$5:$B$55),"")</f>
        <v/>
      </c>
    </row>
    <row r="27" customFormat="false" ht="13.8" hidden="false" customHeight="false" outlineLevel="0" collapsed="false">
      <c r="A27" s="108"/>
      <c r="B27" s="19"/>
      <c r="C27" s="20"/>
      <c r="D27" s="21"/>
      <c r="E27" s="22" t="str">
        <f aca="false">IF(F27="X",E26+C27+B27,"")</f>
        <v/>
      </c>
      <c r="F27" s="109"/>
      <c r="K27" s="107"/>
      <c r="L27" s="25" t="str">
        <f aca="false">IF(K27&lt;&gt;"",SUMIF($D$5:$D$55,K27,$C$5:$C$55)+SUMIF($D$5:$D$55,K27,$B$5:$B$55),"")</f>
        <v/>
      </c>
    </row>
    <row r="28" customFormat="false" ht="13.8" hidden="false" customHeight="false" outlineLevel="0" collapsed="false">
      <c r="A28" s="108"/>
      <c r="B28" s="19"/>
      <c r="C28" s="20"/>
      <c r="D28" s="21"/>
      <c r="E28" s="22" t="str">
        <f aca="false">IF(F28="X",E27+C28+B28,"")</f>
        <v/>
      </c>
      <c r="F28" s="106"/>
      <c r="K28" s="107"/>
      <c r="L28" s="25" t="str">
        <f aca="false">IF(K28&lt;&gt;"",SUMIF($D$5:$D$55,K28,$C$5:$C$55)+SUMIF($D$5:$D$55,K28,$B$5:$B$55),"")</f>
        <v/>
      </c>
    </row>
    <row r="29" customFormat="false" ht="13.8" hidden="false" customHeight="false" outlineLevel="0" collapsed="false">
      <c r="A29" s="105"/>
      <c r="B29" s="19"/>
      <c r="C29" s="31"/>
      <c r="D29" s="21"/>
      <c r="E29" s="22" t="str">
        <f aca="false">IF(F29="X",E28+C29+B29,"")</f>
        <v/>
      </c>
      <c r="F29" s="106"/>
      <c r="K29" s="107"/>
      <c r="L29" s="25" t="str">
        <f aca="false">IF(Tableau732336[[#This Row],[PRATIQUE]]&lt;&gt;"",SUMIF($D$5:$D$55,K29,$C$5:$C$55)+SUMIF($D$5:$D$55,K29,$B$5:$B$55),"")</f>
        <v/>
      </c>
    </row>
    <row r="30" customFormat="false" ht="13.8" hidden="false" customHeight="false" outlineLevel="0" collapsed="false">
      <c r="A30" s="105"/>
      <c r="B30" s="19"/>
      <c r="C30" s="20"/>
      <c r="D30" s="21"/>
      <c r="E30" s="22" t="str">
        <f aca="false">IF(F30="X",E29+C30+B30,"")</f>
        <v/>
      </c>
      <c r="F30" s="106"/>
      <c r="K30" s="107"/>
      <c r="L30" s="25" t="str">
        <f aca="false">IF(Tableau732336[[#This Row],[PRATIQUE]]&lt;&gt;"",SUMIF($D$5:$D$55,K30,$C$5:$C$55)+SUMIF($D$5:$D$55,K30,$B$5:$B$55),"")</f>
        <v/>
      </c>
    </row>
    <row r="31" customFormat="false" ht="13.8" hidden="false" customHeight="false" outlineLevel="0" collapsed="false">
      <c r="A31" s="108"/>
      <c r="B31" s="19"/>
      <c r="C31" s="20"/>
      <c r="D31" s="21"/>
      <c r="E31" s="22" t="str">
        <f aca="false">IF(F31="X",E30+C31+B31,"")</f>
        <v/>
      </c>
      <c r="F31" s="106"/>
      <c r="K31" s="107"/>
      <c r="L31" s="25" t="str">
        <f aca="false">IF(Tableau732336[[#This Row],[PRATIQUE]]&lt;&gt;"",SUMIF($D$5:$D$55,K31,$C$5:$C$55)+SUMIF($D$5:$D$55,K31,$B$5:$B$55),"")</f>
        <v/>
      </c>
    </row>
    <row r="32" customFormat="false" ht="13.8" hidden="false" customHeight="false" outlineLevel="0" collapsed="false">
      <c r="A32" s="108"/>
      <c r="B32" s="19"/>
      <c r="C32" s="20"/>
      <c r="D32" s="21"/>
      <c r="E32" s="22" t="str">
        <f aca="false">IF(F32="X",E31+C32+B32,"")</f>
        <v/>
      </c>
      <c r="F32" s="106"/>
      <c r="K32" s="107"/>
      <c r="L32" s="25" t="str">
        <f aca="false">IF(Tableau732336[[#This Row],[PRATIQUE]]&lt;&gt;"",SUMIF($D$5:$D$55,K32,$C$5:$C$55)+SUMIF($D$5:$D$55,K32,$B$5:$B$55),"")</f>
        <v/>
      </c>
    </row>
    <row r="33" customFormat="false" ht="13.8" hidden="false" customHeight="false" outlineLevel="0" collapsed="false">
      <c r="A33" s="108"/>
      <c r="B33" s="19"/>
      <c r="C33" s="20"/>
      <c r="D33" s="21"/>
      <c r="E33" s="22" t="str">
        <f aca="false">IF(F33="X",E32+C33+B33,"")</f>
        <v/>
      </c>
      <c r="F33" s="106"/>
      <c r="K33" s="107"/>
      <c r="L33" s="25" t="str">
        <f aca="false">IF(Tableau732336[[#This Row],[PRATIQUE]]&lt;&gt;"",SUMIF($D$5:$D$55,K33,$C$5:$C$55)+SUMIF($D$5:$D$55,K33,$B$5:$B$55),"")</f>
        <v/>
      </c>
    </row>
    <row r="34" customFormat="false" ht="13.8" hidden="false" customHeight="false" outlineLevel="0" collapsed="false">
      <c r="A34" s="108"/>
      <c r="B34" s="19"/>
      <c r="C34" s="20"/>
      <c r="D34" s="21"/>
      <c r="E34" s="22" t="str">
        <f aca="false">IF(F34="X",E33+C34+B34,"")</f>
        <v/>
      </c>
      <c r="F34" s="106"/>
      <c r="H34" s="38"/>
      <c r="K34" s="107"/>
      <c r="L34" s="25" t="str">
        <f aca="false">IF(Tableau732336[[#This Row],[PRATIQUE]]&lt;&gt;"",SUMIF($D$5:$D$55,K34,$C$5:$C$55)+SUMIF($D$5:$D$55,K34,$B$5:$B$55),"")</f>
        <v/>
      </c>
    </row>
    <row r="35" customFormat="false" ht="13.8" hidden="false" customHeight="false" outlineLevel="0" collapsed="false">
      <c r="A35" s="108"/>
      <c r="B35" s="19"/>
      <c r="C35" s="20"/>
      <c r="D35" s="21"/>
      <c r="E35" s="22" t="str">
        <f aca="false">IF(F35="X",E34+C35+B35,"")</f>
        <v/>
      </c>
      <c r="F35" s="106"/>
      <c r="K35" s="107"/>
      <c r="L35" s="25" t="str">
        <f aca="false">IF(Tableau732336[[#This Row],[PRATIQUE]]&lt;&gt;"",SUMIF($D$5:$D$55,K35,$C$5:$C$55)+SUMIF($D$5:$D$55,K35,$B$5:$B$55),"")</f>
        <v/>
      </c>
    </row>
    <row r="36" customFormat="false" ht="13.8" hidden="false" customHeight="false" outlineLevel="0" collapsed="false">
      <c r="A36" s="108"/>
      <c r="B36" s="19"/>
      <c r="C36" s="20"/>
      <c r="D36" s="21"/>
      <c r="E36" s="22" t="str">
        <f aca="false">IF(F36="X",E35+C36+B36,"")</f>
        <v/>
      </c>
      <c r="F36" s="106"/>
      <c r="K36" s="107"/>
      <c r="L36" s="25" t="str">
        <f aca="false">IF(Tableau732336[[#This Row],[PRATIQUE]]&lt;&gt;"",SUMIF($D$5:$D$55,K36,$C$5:$C$55)+SUMIF($D$5:$D$55,K36,$B$5:$B$55),"")</f>
        <v/>
      </c>
    </row>
    <row r="37" customFormat="false" ht="13.8" hidden="false" customHeight="false" outlineLevel="0" collapsed="false">
      <c r="A37" s="105"/>
      <c r="B37" s="19"/>
      <c r="C37" s="20"/>
      <c r="D37" s="21"/>
      <c r="E37" s="22" t="str">
        <f aca="false">IF(F37="X",E36+C37+B37,"")</f>
        <v/>
      </c>
      <c r="F37" s="106"/>
      <c r="K37" s="107"/>
      <c r="L37" s="25" t="str">
        <f aca="false">IF(Tableau732336[[#This Row],[PRATIQUE]]&lt;&gt;"",SUMIF($D$5:$D$55,K37,$C$5:$C$55)+SUMIF($D$5:$D$55,K37,$B$5:$B$55),"")</f>
        <v/>
      </c>
    </row>
    <row r="38" customFormat="false" ht="13.8" hidden="false" customHeight="false" outlineLevel="0" collapsed="false">
      <c r="A38" s="105"/>
      <c r="B38" s="19"/>
      <c r="C38" s="20"/>
      <c r="D38" s="21"/>
      <c r="E38" s="22" t="str">
        <f aca="false">IF(F38="X",E37+C38+B38,"")</f>
        <v/>
      </c>
      <c r="F38" s="106"/>
      <c r="K38" s="107"/>
      <c r="L38" s="25" t="str">
        <f aca="false">IF(Tableau732336[[#This Row],[PRATIQUE]]&lt;&gt;"",SUMIF($D$5:$D$55,K38,$C$5:$C$55)+SUMIF($D$5:$D$55,K38,$B$5:$B$55),"")</f>
        <v/>
      </c>
    </row>
    <row r="39" customFormat="false" ht="13.8" hidden="false" customHeight="false" outlineLevel="0" collapsed="false">
      <c r="A39" s="105"/>
      <c r="B39" s="19"/>
      <c r="C39" s="20"/>
      <c r="D39" s="21"/>
      <c r="E39" s="22" t="str">
        <f aca="false">IF(F39="X",E38+C39+B39,"")</f>
        <v/>
      </c>
      <c r="F39" s="106"/>
      <c r="K39" s="107"/>
      <c r="L39" s="25" t="str">
        <f aca="false">IF(Tableau732336[[#This Row],[PRATIQUE]]&lt;&gt;"",SUMIF($D$5:$D$55,K39,$C$5:$C$55)+SUMIF($D$5:$D$55,K39,$B$5:$B$55),"")</f>
        <v/>
      </c>
    </row>
    <row r="40" customFormat="false" ht="13.8" hidden="false" customHeight="false" outlineLevel="0" collapsed="false">
      <c r="A40" s="105"/>
      <c r="B40" s="19"/>
      <c r="C40" s="20"/>
      <c r="D40" s="21"/>
      <c r="E40" s="22" t="str">
        <f aca="false">IF(F40="X",E39+C40+B40,"")</f>
        <v/>
      </c>
      <c r="F40" s="106"/>
      <c r="K40" s="107"/>
      <c r="L40" s="25" t="str">
        <f aca="false">IF(Tableau732336[[#This Row],[PRATIQUE]]&lt;&gt;"",SUMIF($D$5:$D$55,K40,$C$5:$C$55)+SUMIF($D$5:$D$55,K40,$B$5:$B$55),"")</f>
        <v/>
      </c>
    </row>
    <row r="41" customFormat="false" ht="13.8" hidden="false" customHeight="false" outlineLevel="0" collapsed="false">
      <c r="A41" s="105"/>
      <c r="B41" s="19"/>
      <c r="C41" s="20"/>
      <c r="D41" s="21"/>
      <c r="E41" s="22" t="str">
        <f aca="false">IF(F41="X",E40+C41+B41,"")</f>
        <v/>
      </c>
      <c r="F41" s="106"/>
      <c r="K41" s="110" t="s">
        <v>41</v>
      </c>
      <c r="L41" s="25" t="n">
        <f aca="false">SUMIF(D5:D55,"Orange",C5:C55)+SUMIF(D5:D55,"TEGO",C5:C55)+SUMIF(D5:D55,"Carac",C5:C55)+SUMIF(D5:D55,"UNEO",C5:C55)+SUMIF(D5:D55,"Crédit Mutuel",C5:C55)+SUMIF(D5:D55,"Loyer",C5:C55)+SUMIF(D5:D55,"GoWod",C5:C55)+SUMIF(D5:D55,"EPARMIL",C5:C55)+SUMIF(D5:D55,"Virement Livret Bébé",C5:C55)+SUMIF(D5:D55,"Virement A",C5:C55)</f>
        <v>0</v>
      </c>
    </row>
    <row r="42" customFormat="false" ht="13.8" hidden="false" customHeight="false" outlineLevel="0" collapsed="false">
      <c r="A42" s="105"/>
      <c r="B42" s="19"/>
      <c r="C42" s="20"/>
      <c r="D42" s="21"/>
      <c r="E42" s="22" t="str">
        <f aca="false">IF(F42="X",E41+C42+B42,"")</f>
        <v/>
      </c>
      <c r="F42" s="106"/>
      <c r="K42" s="111"/>
      <c r="L42" s="25" t="str">
        <f aca="false">IF(Tableau732336[[#This Row],[PRATIQUE]]&lt;&gt;"",SUMIF($D$5:$D$55,K42,$C$5:$C$55)+SUMIF($D$5:$D$55,K42,$B$5:$B$55),"")</f>
        <v/>
      </c>
    </row>
    <row r="43" customFormat="false" ht="13.8" hidden="false" customHeight="false" outlineLevel="0" collapsed="false">
      <c r="A43" s="105"/>
      <c r="B43" s="19"/>
      <c r="C43" s="20"/>
      <c r="D43" s="21"/>
      <c r="E43" s="22" t="str">
        <f aca="false">IF(F43="X",E42+C43+B43,"")</f>
        <v/>
      </c>
      <c r="F43" s="106"/>
      <c r="K43" s="111" t="s">
        <v>12</v>
      </c>
      <c r="L43" s="25" t="n">
        <f aca="false">SUM(L4:L41)</f>
        <v>0</v>
      </c>
    </row>
    <row r="44" customFormat="false" ht="13.8" hidden="false" customHeight="false" outlineLevel="0" collapsed="false">
      <c r="A44" s="105"/>
      <c r="B44" s="19"/>
      <c r="C44" s="20"/>
      <c r="D44" s="21"/>
      <c r="E44" s="22" t="str">
        <f aca="false">IF(F44="X",E43+C44+B44,"")</f>
        <v/>
      </c>
      <c r="F44" s="106"/>
      <c r="K44" s="112" t="s">
        <v>42</v>
      </c>
      <c r="L44" s="113" t="n">
        <f aca="false">I1+L43</f>
        <v>0</v>
      </c>
    </row>
    <row r="45" customFormat="false" ht="13.8" hidden="false" customHeight="false" outlineLevel="0" collapsed="false">
      <c r="A45" s="105"/>
      <c r="B45" s="19"/>
      <c r="C45" s="20"/>
      <c r="D45" s="21"/>
      <c r="E45" s="22" t="str">
        <f aca="false">IF(F45="X",E44+C45+B45,"")</f>
        <v/>
      </c>
      <c r="F45" s="106"/>
    </row>
    <row r="46" customFormat="false" ht="13.8" hidden="false" customHeight="false" outlineLevel="0" collapsed="false">
      <c r="A46" s="105"/>
      <c r="B46" s="19"/>
      <c r="C46" s="20"/>
      <c r="D46" s="21"/>
      <c r="E46" s="22" t="str">
        <f aca="false">IF(F46="X",E45+C46+B46,"")</f>
        <v/>
      </c>
      <c r="F46" s="106"/>
    </row>
    <row r="47" customFormat="false" ht="13.8" hidden="false" customHeight="false" outlineLevel="0" collapsed="false">
      <c r="A47" s="105"/>
      <c r="B47" s="19"/>
      <c r="C47" s="20"/>
      <c r="D47" s="21"/>
      <c r="E47" s="22" t="str">
        <f aca="false">IF(F47="X",E46+C47+B47,"")</f>
        <v/>
      </c>
      <c r="F47" s="106"/>
    </row>
    <row r="48" customFormat="false" ht="13.8" hidden="false" customHeight="false" outlineLevel="0" collapsed="false">
      <c r="A48" s="105"/>
      <c r="B48" s="19"/>
      <c r="C48" s="20"/>
      <c r="D48" s="21"/>
      <c r="E48" s="22" t="str">
        <f aca="false">IF(F48="X",E47+C48+B48,"")</f>
        <v/>
      </c>
      <c r="F48" s="106"/>
    </row>
    <row r="49" customFormat="false" ht="13.8" hidden="false" customHeight="false" outlineLevel="0" collapsed="false">
      <c r="A49" s="105"/>
      <c r="B49" s="19"/>
      <c r="C49" s="20"/>
      <c r="D49" s="21"/>
      <c r="E49" s="22"/>
      <c r="F49" s="106"/>
    </row>
    <row r="50" customFormat="false" ht="13.8" hidden="false" customHeight="false" outlineLevel="0" collapsed="false">
      <c r="A50" s="105"/>
      <c r="B50" s="19"/>
      <c r="C50" s="20"/>
      <c r="D50" s="21"/>
      <c r="E50" s="22"/>
      <c r="F50" s="106"/>
    </row>
    <row r="51" customFormat="false" ht="13.8" hidden="false" customHeight="false" outlineLevel="0" collapsed="false">
      <c r="A51" s="105"/>
      <c r="B51" s="19"/>
      <c r="C51" s="20"/>
      <c r="D51" s="21"/>
      <c r="E51" s="22" t="str">
        <f aca="false">IF(F51="X",E50+C51+B51,"")</f>
        <v/>
      </c>
      <c r="F51" s="106"/>
    </row>
    <row r="52" customFormat="false" ht="13.8" hidden="false" customHeight="false" outlineLevel="0" collapsed="false">
      <c r="A52" s="105"/>
      <c r="B52" s="19"/>
      <c r="C52" s="20"/>
      <c r="D52" s="21"/>
      <c r="E52" s="22" t="str">
        <f aca="false">IF(F52="X",E51+C52+B52,"")</f>
        <v/>
      </c>
      <c r="F52" s="106"/>
    </row>
    <row r="53" customFormat="false" ht="13.8" hidden="false" customHeight="false" outlineLevel="0" collapsed="false">
      <c r="A53" s="105"/>
      <c r="B53" s="19"/>
      <c r="C53" s="20"/>
      <c r="D53" s="21"/>
      <c r="E53" s="22" t="str">
        <f aca="false">IF(F53="X",E52+C53+B53,"")</f>
        <v/>
      </c>
      <c r="F53" s="106"/>
    </row>
    <row r="54" customFormat="false" ht="13.8" hidden="false" customHeight="false" outlineLevel="0" collapsed="false">
      <c r="A54" s="105"/>
      <c r="B54" s="19"/>
      <c r="C54" s="20"/>
      <c r="D54" s="21"/>
      <c r="E54" s="22" t="str">
        <f aca="false">IF(F54="X",E53+C54+B54,"")</f>
        <v/>
      </c>
      <c r="F54" s="106"/>
    </row>
    <row r="55" customFormat="false" ht="13.8" hidden="false" customHeight="false" outlineLevel="0" collapsed="false">
      <c r="A55" s="105"/>
      <c r="B55" s="19"/>
      <c r="C55" s="20"/>
      <c r="D55" s="21"/>
      <c r="E55" s="22" t="str">
        <f aca="false">IF(F55="X",E54+C55+B55,"")</f>
        <v/>
      </c>
      <c r="F55" s="106"/>
    </row>
    <row r="56" customFormat="false" ht="13.8" hidden="false" customHeight="false" outlineLevel="0" collapsed="false">
      <c r="A56" s="105"/>
      <c r="B56" s="19"/>
      <c r="C56" s="20"/>
      <c r="D56" s="21"/>
      <c r="E56" s="22" t="str">
        <f aca="false">IF(F56="X",E55+C56+B56,"")</f>
        <v/>
      </c>
      <c r="F56" s="106"/>
    </row>
    <row r="57" customFormat="false" ht="13.8" hidden="false" customHeight="false" outlineLevel="0" collapsed="false">
      <c r="A57" s="105"/>
      <c r="B57" s="19"/>
      <c r="C57" s="20"/>
      <c r="D57" s="21"/>
      <c r="E57" s="22" t="str">
        <f aca="false">IF(F57="X",E56+C57+B57,"")</f>
        <v/>
      </c>
      <c r="F57" s="106"/>
    </row>
    <row r="58" customFormat="false" ht="13.8" hidden="false" customHeight="false" outlineLevel="0" collapsed="false">
      <c r="A58" s="105"/>
      <c r="B58" s="19"/>
      <c r="C58" s="20"/>
      <c r="D58" s="21"/>
      <c r="E58" s="22" t="str">
        <f aca="false">IF(F58="X",E57+C58+B58,"")</f>
        <v/>
      </c>
      <c r="F58" s="114"/>
    </row>
    <row r="59" customFormat="false" ht="13.8" hidden="false" customHeight="false" outlineLevel="0" collapsed="false">
      <c r="A59" s="115"/>
      <c r="B59" s="19"/>
      <c r="C59" s="20"/>
      <c r="D59" s="21"/>
      <c r="E59" s="22" t="str">
        <f aca="false">IF(F59="X",E58+C59+B59,"")</f>
        <v/>
      </c>
      <c r="F59" s="114"/>
      <c r="J59" s="36"/>
    </row>
    <row r="60" customFormat="false" ht="13.8" hidden="false" customHeight="false" outlineLevel="0" collapsed="false">
      <c r="A60" s="115"/>
      <c r="B60" s="19"/>
      <c r="C60" s="20"/>
      <c r="D60" s="21"/>
      <c r="E60" s="22" t="str">
        <f aca="false">IF(F60="X",E59+C60+B60,"")</f>
        <v/>
      </c>
      <c r="F60" s="114"/>
    </row>
    <row r="61" customFormat="false" ht="13.8" hidden="false" customHeight="false" outlineLevel="0" collapsed="false">
      <c r="A61" s="115"/>
      <c r="B61" s="19"/>
      <c r="C61" s="20"/>
      <c r="D61" s="21"/>
      <c r="E61" s="22" t="str">
        <f aca="false">IF(F61="X",E60+C61+B61,"")</f>
        <v/>
      </c>
      <c r="F61" s="114"/>
    </row>
    <row r="62" customFormat="false" ht="13.8" hidden="false" customHeight="false" outlineLevel="0" collapsed="false">
      <c r="A62" s="115"/>
      <c r="B62" s="19"/>
      <c r="C62" s="20"/>
      <c r="D62" s="21"/>
      <c r="E62" s="22" t="str">
        <f aca="false">IF(F62="X",E61+C62+B62,"")</f>
        <v/>
      </c>
      <c r="F62" s="114"/>
    </row>
    <row r="63" customFormat="false" ht="13.8" hidden="false" customHeight="false" outlineLevel="0" collapsed="false">
      <c r="A63" s="115"/>
      <c r="B63" s="19"/>
      <c r="C63" s="20"/>
      <c r="D63" s="21"/>
      <c r="E63" s="22" t="str">
        <f aca="false">IF(F63="X",E62+C63+B63,"")</f>
        <v/>
      </c>
      <c r="F63" s="114"/>
    </row>
    <row r="64" customFormat="false" ht="13.8" hidden="false" customHeight="false" outlineLevel="0" collapsed="false">
      <c r="A64" s="115"/>
      <c r="B64" s="19"/>
      <c r="C64" s="20"/>
      <c r="D64" s="21"/>
      <c r="E64" s="22" t="str">
        <f aca="false">IF(F64="X",E63+C64+B64,"")</f>
        <v/>
      </c>
      <c r="F64" s="114"/>
    </row>
    <row r="65" customFormat="false" ht="13.8" hidden="false" customHeight="false" outlineLevel="0" collapsed="false">
      <c r="A65" s="115"/>
      <c r="B65" s="19"/>
      <c r="C65" s="20"/>
      <c r="D65" s="21"/>
      <c r="E65" s="22" t="str">
        <f aca="false">IF(F65="X",E64+C65+B65,"")</f>
        <v/>
      </c>
      <c r="F65" s="114"/>
    </row>
    <row r="66" customFormat="false" ht="13.8" hidden="false" customHeight="false" outlineLevel="0" collapsed="false">
      <c r="A66" s="115"/>
      <c r="B66" s="19"/>
      <c r="C66" s="20"/>
      <c r="D66" s="21"/>
      <c r="E66" s="22" t="str">
        <f aca="false">IF(F66="X",E65+C66+B66,"")</f>
        <v/>
      </c>
      <c r="F66" s="114"/>
    </row>
    <row r="67" customFormat="false" ht="13.8" hidden="false" customHeight="false" outlineLevel="0" collapsed="false">
      <c r="A67" s="115"/>
      <c r="B67" s="19"/>
      <c r="C67" s="20"/>
      <c r="D67" s="21"/>
      <c r="E67" s="22" t="str">
        <f aca="false">IF(F67="X",E66+C67+B67,"")</f>
        <v/>
      </c>
      <c r="F67" s="114"/>
    </row>
    <row r="68" customFormat="false" ht="13.8" hidden="false" customHeight="false" outlineLevel="0" collapsed="false">
      <c r="A68" s="115"/>
      <c r="B68" s="19"/>
      <c r="C68" s="20"/>
      <c r="D68" s="21"/>
      <c r="E68" s="22" t="str">
        <f aca="false">IF(F68="X",E67+C68+B68,"")</f>
        <v/>
      </c>
      <c r="F68" s="114"/>
    </row>
    <row r="69" customFormat="false" ht="13.8" hidden="false" customHeight="false" outlineLevel="0" collapsed="false">
      <c r="A69" s="115"/>
      <c r="B69" s="19"/>
      <c r="C69" s="20"/>
      <c r="D69" s="21"/>
      <c r="E69" s="22" t="str">
        <f aca="false">IF(F69="X",E68+C69+B69,"")</f>
        <v/>
      </c>
      <c r="F69" s="114"/>
    </row>
    <row r="70" customFormat="false" ht="13.8" hidden="false" customHeight="false" outlineLevel="0" collapsed="false">
      <c r="A70" s="115"/>
      <c r="B70" s="19"/>
      <c r="C70" s="20"/>
      <c r="D70" s="21"/>
      <c r="E70" s="22" t="str">
        <f aca="false">IF(F70="X",E69+C70+B70,"")</f>
        <v/>
      </c>
      <c r="F70" s="114"/>
    </row>
    <row r="71" customFormat="false" ht="13.8" hidden="false" customHeight="false" outlineLevel="0" collapsed="false">
      <c r="A71" s="116"/>
      <c r="B71" s="117"/>
      <c r="C71" s="118"/>
      <c r="D71" s="119"/>
      <c r="E71" s="120"/>
      <c r="F71" s="121"/>
    </row>
  </sheetData>
  <conditionalFormatting sqref="L41">
    <cfRule type="cellIs" priority="2" operator="greaterThan" aboveAverage="0" equalAverage="0" bottom="0" percent="0" rank="0" text="" dxfId="977">
      <formula>0</formula>
    </cfRule>
    <cfRule type="cellIs" priority="3" operator="lessThan" aboveAverage="0" equalAverage="0" bottom="0" percent="0" rank="0" text="" dxfId="978">
      <formula>0</formula>
    </cfRule>
  </conditionalFormatting>
  <conditionalFormatting sqref="K37">
    <cfRule type="expression" priority="4" aboveAverage="0" equalAverage="0" bottom="0" percent="0" rank="0" text="" dxfId="979">
      <formula>L37&gt;0</formula>
    </cfRule>
    <cfRule type="expression" priority="5" aboveAverage="0" equalAverage="0" bottom="0" percent="0" rank="0" text="" dxfId="980">
      <formula>L37&lt;0</formula>
    </cfRule>
  </conditionalFormatting>
  <conditionalFormatting sqref="K36">
    <cfRule type="expression" priority="6" aboveAverage="0" equalAverage="0" bottom="0" percent="0" rank="0" text="" dxfId="981">
      <formula>L36&gt;0</formula>
    </cfRule>
    <cfRule type="expression" priority="7" aboveAverage="0" equalAverage="0" bottom="0" percent="0" rank="0" text="" dxfId="982">
      <formula>L36&lt;0</formula>
    </cfRule>
  </conditionalFormatting>
  <conditionalFormatting sqref="K35">
    <cfRule type="expression" priority="8" aboveAverage="0" equalAverage="0" bottom="0" percent="0" rank="0" text="" dxfId="983">
      <formula>L35&gt;0</formula>
    </cfRule>
    <cfRule type="expression" priority="9" aboveAverage="0" equalAverage="0" bottom="0" percent="0" rank="0" text="" dxfId="984">
      <formula>L35&lt;0</formula>
    </cfRule>
  </conditionalFormatting>
  <conditionalFormatting sqref="K34">
    <cfRule type="expression" priority="10" aboveAverage="0" equalAverage="0" bottom="0" percent="0" rank="0" text="" dxfId="985">
      <formula>L34&gt;0</formula>
    </cfRule>
    <cfRule type="expression" priority="11" aboveAverage="0" equalAverage="0" bottom="0" percent="0" rank="0" text="" dxfId="986">
      <formula>L34&lt;0</formula>
    </cfRule>
  </conditionalFormatting>
  <conditionalFormatting sqref="K33">
    <cfRule type="expression" priority="12" aboveAverage="0" equalAverage="0" bottom="0" percent="0" rank="0" text="" dxfId="987">
      <formula>L33&gt;0</formula>
    </cfRule>
    <cfRule type="expression" priority="13" aboveAverage="0" equalAverage="0" bottom="0" percent="0" rank="0" text="" dxfId="988">
      <formula>L33&lt;0</formula>
    </cfRule>
  </conditionalFormatting>
  <conditionalFormatting sqref="K32">
    <cfRule type="expression" priority="14" aboveAverage="0" equalAverage="0" bottom="0" percent="0" rank="0" text="" dxfId="989">
      <formula>L32&gt;0</formula>
    </cfRule>
    <cfRule type="expression" priority="15" aboveAverage="0" equalAverage="0" bottom="0" percent="0" rank="0" text="" dxfId="990">
      <formula>L32&lt;0</formula>
    </cfRule>
  </conditionalFormatting>
  <conditionalFormatting sqref="K31">
    <cfRule type="expression" priority="16" aboveAverage="0" equalAverage="0" bottom="0" percent="0" rank="0" text="" dxfId="991">
      <formula>L31&gt;0</formula>
    </cfRule>
    <cfRule type="expression" priority="17" aboveAverage="0" equalAverage="0" bottom="0" percent="0" rank="0" text="" dxfId="992">
      <formula>L31&lt;0</formula>
    </cfRule>
  </conditionalFormatting>
  <conditionalFormatting sqref="K30">
    <cfRule type="expression" priority="18" aboveAverage="0" equalAverage="0" bottom="0" percent="0" rank="0" text="" dxfId="993">
      <formula>L30&gt;0</formula>
    </cfRule>
    <cfRule type="expression" priority="19" aboveAverage="0" equalAverage="0" bottom="0" percent="0" rank="0" text="" dxfId="994">
      <formula>L30&lt;0</formula>
    </cfRule>
  </conditionalFormatting>
  <conditionalFormatting sqref="K29">
    <cfRule type="expression" priority="20" aboveAverage="0" equalAverage="0" bottom="0" percent="0" rank="0" text="" dxfId="995">
      <formula>L29&gt;0</formula>
    </cfRule>
    <cfRule type="expression" priority="21" aboveAverage="0" equalAverage="0" bottom="0" percent="0" rank="0" text="" dxfId="996">
      <formula>L29&lt;0</formula>
    </cfRule>
  </conditionalFormatting>
  <conditionalFormatting sqref="K28">
    <cfRule type="expression" priority="22" aboveAverage="0" equalAverage="0" bottom="0" percent="0" rank="0" text="" dxfId="997">
      <formula>L28&gt;0</formula>
    </cfRule>
    <cfRule type="expression" priority="23" aboveAverage="0" equalAverage="0" bottom="0" percent="0" rank="0" text="" dxfId="998">
      <formula>L28&lt;0</formula>
    </cfRule>
  </conditionalFormatting>
  <conditionalFormatting sqref="K27">
    <cfRule type="expression" priority="24" aboveAverage="0" equalAverage="0" bottom="0" percent="0" rank="0" text="" dxfId="999">
      <formula>L27&gt;0</formula>
    </cfRule>
    <cfRule type="expression" priority="25" aboveAverage="0" equalAverage="0" bottom="0" percent="0" rank="0" text="" dxfId="1000">
      <formula>L27&lt;0</formula>
    </cfRule>
  </conditionalFormatting>
  <conditionalFormatting sqref="K26">
    <cfRule type="expression" priority="26" aboveAverage="0" equalAverage="0" bottom="0" percent="0" rank="0" text="" dxfId="1001">
      <formula>L26&gt;0</formula>
    </cfRule>
    <cfRule type="expression" priority="27" aboveAverage="0" equalAverage="0" bottom="0" percent="0" rank="0" text="" dxfId="1002">
      <formula>L26&lt;0</formula>
    </cfRule>
  </conditionalFormatting>
  <conditionalFormatting sqref="K25">
    <cfRule type="expression" priority="28" aboveAverage="0" equalAverage="0" bottom="0" percent="0" rank="0" text="" dxfId="1003">
      <formula>L25&gt;0</formula>
    </cfRule>
    <cfRule type="expression" priority="29" aboveAverage="0" equalAverage="0" bottom="0" percent="0" rank="0" text="" dxfId="1004">
      <formula>L25&lt;0</formula>
    </cfRule>
  </conditionalFormatting>
  <conditionalFormatting sqref="K24">
    <cfRule type="expression" priority="30" aboveAverage="0" equalAverage="0" bottom="0" percent="0" rank="0" text="" dxfId="1005">
      <formula>L24&gt;0</formula>
    </cfRule>
    <cfRule type="expression" priority="31" aboveAverage="0" equalAverage="0" bottom="0" percent="0" rank="0" text="" dxfId="1006">
      <formula>L24&lt;0</formula>
    </cfRule>
  </conditionalFormatting>
  <conditionalFormatting sqref="K23">
    <cfRule type="expression" priority="32" aboveAverage="0" equalAverage="0" bottom="0" percent="0" rank="0" text="" dxfId="1007">
      <formula>L23&gt;0</formula>
    </cfRule>
    <cfRule type="expression" priority="33" aboveAverage="0" equalAverage="0" bottom="0" percent="0" rank="0" text="" dxfId="1008">
      <formula>L23&lt;0</formula>
    </cfRule>
  </conditionalFormatting>
  <conditionalFormatting sqref="K22">
    <cfRule type="expression" priority="34" aboveAverage="0" equalAverage="0" bottom="0" percent="0" rank="0" text="" dxfId="1009">
      <formula>L22&gt;0</formula>
    </cfRule>
    <cfRule type="expression" priority="35" aboveAverage="0" equalAverage="0" bottom="0" percent="0" rank="0" text="" dxfId="1010">
      <formula>L22&lt;0</formula>
    </cfRule>
  </conditionalFormatting>
  <conditionalFormatting sqref="K21">
    <cfRule type="expression" priority="36" aboveAverage="0" equalAverage="0" bottom="0" percent="0" rank="0" text="" dxfId="1011">
      <formula>L21&gt;0</formula>
    </cfRule>
    <cfRule type="expression" priority="37" aboveAverage="0" equalAverage="0" bottom="0" percent="0" rank="0" text="" dxfId="1012">
      <formula>L21&lt;0</formula>
    </cfRule>
  </conditionalFormatting>
  <conditionalFormatting sqref="K20">
    <cfRule type="expression" priority="38" aboveAverage="0" equalAverage="0" bottom="0" percent="0" rank="0" text="" dxfId="1013">
      <formula>L20&gt;0</formula>
    </cfRule>
    <cfRule type="expression" priority="39" aboveAverage="0" equalAverage="0" bottom="0" percent="0" rank="0" text="" dxfId="1014">
      <formula>L20&lt;0</formula>
    </cfRule>
  </conditionalFormatting>
  <conditionalFormatting sqref="K19">
    <cfRule type="expression" priority="40" aboveAverage="0" equalAverage="0" bottom="0" percent="0" rank="0" text="" dxfId="1015">
      <formula>L19&gt;0</formula>
    </cfRule>
    <cfRule type="expression" priority="41" aboveAverage="0" equalAverage="0" bottom="0" percent="0" rank="0" text="" dxfId="1016">
      <formula>L19&lt;0</formula>
    </cfRule>
  </conditionalFormatting>
  <conditionalFormatting sqref="K17:K18">
    <cfRule type="expression" priority="42" aboveAverage="0" equalAverage="0" bottom="0" percent="0" rank="0" text="" dxfId="1017">
      <formula>L17&gt;0</formula>
    </cfRule>
    <cfRule type="expression" priority="43" aboveAverage="0" equalAverage="0" bottom="0" percent="0" rank="0" text="" dxfId="1018">
      <formula>L17&lt;0</formula>
    </cfRule>
  </conditionalFormatting>
  <conditionalFormatting sqref="K16">
    <cfRule type="expression" priority="44" aboveAverage="0" equalAverage="0" bottom="0" percent="0" rank="0" text="" dxfId="1019">
      <formula>L16&gt;0</formula>
    </cfRule>
    <cfRule type="expression" priority="45" aboveAverage="0" equalAverage="0" bottom="0" percent="0" rank="0" text="" dxfId="1020">
      <formula>L16&lt;0</formula>
    </cfRule>
  </conditionalFormatting>
  <conditionalFormatting sqref="K15">
    <cfRule type="expression" priority="46" aboveAverage="0" equalAverage="0" bottom="0" percent="0" rank="0" text="" dxfId="1021">
      <formula>L15&gt;0</formula>
    </cfRule>
    <cfRule type="expression" priority="47" aboveAverage="0" equalAverage="0" bottom="0" percent="0" rank="0" text="" dxfId="1022">
      <formula>L15&lt;0</formula>
    </cfRule>
  </conditionalFormatting>
  <conditionalFormatting sqref="K14">
    <cfRule type="expression" priority="48" aboveAverage="0" equalAverage="0" bottom="0" percent="0" rank="0" text="" dxfId="1023">
      <formula>L14&gt;0</formula>
    </cfRule>
    <cfRule type="expression" priority="49" aboveAverage="0" equalAverage="0" bottom="0" percent="0" rank="0" text="" dxfId="1024">
      <formula>L14&lt;0</formula>
    </cfRule>
  </conditionalFormatting>
  <conditionalFormatting sqref="K13">
    <cfRule type="expression" priority="50" aboveAverage="0" equalAverage="0" bottom="0" percent="0" rank="0" text="" dxfId="1025">
      <formula>L13&gt;0</formula>
    </cfRule>
    <cfRule type="expression" priority="51" aboveAverage="0" equalAverage="0" bottom="0" percent="0" rank="0" text="" dxfId="1026">
      <formula>L13&lt;0</formula>
    </cfRule>
  </conditionalFormatting>
  <conditionalFormatting sqref="K12">
    <cfRule type="expression" priority="52" aboveAverage="0" equalAverage="0" bottom="0" percent="0" rank="0" text="" dxfId="1027">
      <formula>L12&gt;0</formula>
    </cfRule>
    <cfRule type="expression" priority="53" aboveAverage="0" equalAverage="0" bottom="0" percent="0" rank="0" text="" dxfId="1028">
      <formula>L12&lt;0</formula>
    </cfRule>
  </conditionalFormatting>
  <conditionalFormatting sqref="K11">
    <cfRule type="expression" priority="54" aboveAverage="0" equalAverage="0" bottom="0" percent="0" rank="0" text="" dxfId="1029">
      <formula>L11&gt;0</formula>
    </cfRule>
    <cfRule type="expression" priority="55" aboveAverage="0" equalAverage="0" bottom="0" percent="0" rank="0" text="" dxfId="1030">
      <formula>L11&lt;0</formula>
    </cfRule>
  </conditionalFormatting>
  <conditionalFormatting sqref="K10">
    <cfRule type="expression" priority="56" aboveAverage="0" equalAverage="0" bottom="0" percent="0" rank="0" text="" dxfId="1031">
      <formula>L10&gt;0</formula>
    </cfRule>
    <cfRule type="expression" priority="57" aboveAverage="0" equalAverage="0" bottom="0" percent="0" rank="0" text="" dxfId="1032">
      <formula>L10&lt;0</formula>
    </cfRule>
  </conditionalFormatting>
  <conditionalFormatting sqref="K9">
    <cfRule type="expression" priority="58" aboveAverage="0" equalAverage="0" bottom="0" percent="0" rank="0" text="" dxfId="1033">
      <formula>L9&gt;0</formula>
    </cfRule>
    <cfRule type="expression" priority="59" aboveAverage="0" equalAverage="0" bottom="0" percent="0" rank="0" text="" dxfId="1034">
      <formula>L9&lt;0</formula>
    </cfRule>
  </conditionalFormatting>
  <conditionalFormatting sqref="K8">
    <cfRule type="expression" priority="60" aboveAverage="0" equalAverage="0" bottom="0" percent="0" rank="0" text="" dxfId="1035">
      <formula>L8&gt;0</formula>
    </cfRule>
    <cfRule type="expression" priority="61" aboveAverage="0" equalAverage="0" bottom="0" percent="0" rank="0" text="" dxfId="1036">
      <formula>L8&lt;0</formula>
    </cfRule>
  </conditionalFormatting>
  <conditionalFormatting sqref="K7">
    <cfRule type="expression" priority="62" aboveAverage="0" equalAverage="0" bottom="0" percent="0" rank="0" text="" dxfId="1037">
      <formula>L7&gt;0</formula>
    </cfRule>
    <cfRule type="expression" priority="63" aboveAverage="0" equalAverage="0" bottom="0" percent="0" rank="0" text="" dxfId="1038">
      <formula>L7&lt;0</formula>
    </cfRule>
  </conditionalFormatting>
  <conditionalFormatting sqref="K6">
    <cfRule type="expression" priority="64" aboveAverage="0" equalAverage="0" bottom="0" percent="0" rank="0" text="" dxfId="1039">
      <formula>L6&gt;0</formula>
    </cfRule>
    <cfRule type="expression" priority="65" aboveAverage="0" equalAverage="0" bottom="0" percent="0" rank="0" text="" dxfId="1040">
      <formula>L6&lt;0</formula>
    </cfRule>
  </conditionalFormatting>
  <conditionalFormatting sqref="K5">
    <cfRule type="expression" priority="66" aboveAverage="0" equalAverage="0" bottom="0" percent="0" rank="0" text="" dxfId="1041">
      <formula>L5&gt;0</formula>
    </cfRule>
    <cfRule type="expression" priority="67" aboveAverage="0" equalAverage="0" bottom="0" percent="0" rank="0" text="" dxfId="1042">
      <formula>L5&lt;0</formula>
    </cfRule>
  </conditionalFormatting>
  <conditionalFormatting sqref="K40">
    <cfRule type="expression" priority="68" aboveAverage="0" equalAverage="0" bottom="0" percent="0" rank="0" text="" dxfId="1043">
      <formula>L45&lt;0</formula>
    </cfRule>
    <cfRule type="expression" priority="69" aboveAverage="0" equalAverage="0" bottom="0" percent="0" rank="0" text="" dxfId="1044">
      <formula>L45&gt;0</formula>
    </cfRule>
  </conditionalFormatting>
  <conditionalFormatting sqref="K39">
    <cfRule type="expression" priority="70" aboveAverage="0" equalAverage="0" bottom="0" percent="0" rank="0" text="" dxfId="1045">
      <formula>L44&lt;0</formula>
    </cfRule>
    <cfRule type="expression" priority="71" aboveAverage="0" equalAverage="0" bottom="0" percent="0" rank="0" text="" dxfId="1046">
      <formula>L44&gt;0</formula>
    </cfRule>
  </conditionalFormatting>
  <conditionalFormatting sqref="K38">
    <cfRule type="expression" priority="72" aboveAverage="0" equalAverage="0" bottom="0" percent="0" rank="0" text="" dxfId="1047">
      <formula>L43&lt;0</formula>
    </cfRule>
    <cfRule type="expression" priority="73" aboveAverage="0" equalAverage="0" bottom="0" percent="0" rank="0" text="" dxfId="1048">
      <formula>L43&gt;0</formula>
    </cfRule>
  </conditionalFormatting>
  <conditionalFormatting sqref="L30">
    <cfRule type="cellIs" priority="74" operator="lessThan" aboveAverage="0" equalAverage="0" bottom="0" percent="0" rank="0" text="" dxfId="1049">
      <formula>0</formula>
    </cfRule>
    <cfRule type="cellIs" priority="75" operator="greaterThan" aboveAverage="0" equalAverage="0" bottom="0" percent="0" rank="0" text="" dxfId="1050">
      <formula>0</formula>
    </cfRule>
  </conditionalFormatting>
  <conditionalFormatting sqref="L29">
    <cfRule type="cellIs" priority="76" operator="lessThan" aboveAverage="0" equalAverage="0" bottom="0" percent="0" rank="0" text="" dxfId="1051">
      <formula>0</formula>
    </cfRule>
    <cfRule type="cellIs" priority="77" operator="greaterThan" aboveAverage="0" equalAverage="0" bottom="0" percent="0" rank="0" text="" dxfId="1052">
      <formula>0</formula>
    </cfRule>
  </conditionalFormatting>
  <conditionalFormatting sqref="L28">
    <cfRule type="cellIs" priority="78" operator="lessThan" aboveAverage="0" equalAverage="0" bottom="0" percent="0" rank="0" text="" dxfId="1053">
      <formula>0</formula>
    </cfRule>
    <cfRule type="cellIs" priority="79" operator="greaterThan" aboveAverage="0" equalAverage="0" bottom="0" percent="0" rank="0" text="" dxfId="1054">
      <formula>0</formula>
    </cfRule>
  </conditionalFormatting>
  <conditionalFormatting sqref="L27">
    <cfRule type="cellIs" priority="80" operator="lessThan" aboveAverage="0" equalAverage="0" bottom="0" percent="0" rank="0" text="" dxfId="1055">
      <formula>0</formula>
    </cfRule>
    <cfRule type="cellIs" priority="81" operator="greaterThan" aboveAverage="0" equalAverage="0" bottom="0" percent="0" rank="0" text="" dxfId="1056">
      <formula>0</formula>
    </cfRule>
  </conditionalFormatting>
  <conditionalFormatting sqref="L26">
    <cfRule type="cellIs" priority="82" operator="lessThan" aboveAverage="0" equalAverage="0" bottom="0" percent="0" rank="0" text="" dxfId="1057">
      <formula>0</formula>
    </cfRule>
    <cfRule type="cellIs" priority="83" operator="greaterThan" aboveAverage="0" equalAverage="0" bottom="0" percent="0" rank="0" text="" dxfId="1058">
      <formula>0</formula>
    </cfRule>
  </conditionalFormatting>
  <conditionalFormatting sqref="L25">
    <cfRule type="cellIs" priority="84" operator="lessThan" aboveAverage="0" equalAverage="0" bottom="0" percent="0" rank="0" text="" dxfId="1059">
      <formula>0</formula>
    </cfRule>
    <cfRule type="cellIs" priority="85" operator="greaterThan" aboveAverage="0" equalAverage="0" bottom="0" percent="0" rank="0" text="" dxfId="1060">
      <formula>0</formula>
    </cfRule>
  </conditionalFormatting>
  <conditionalFormatting sqref="L5:L40 L42:L44">
    <cfRule type="cellIs" priority="86" operator="greaterThan" aboveAverage="0" equalAverage="0" bottom="0" percent="0" rank="0" text="" dxfId="123">
      <formula>0</formula>
    </cfRule>
    <cfRule type="cellIs" priority="87" operator="lessThan" aboveAverage="0" equalAverage="0" bottom="0" percent="0" rank="0" text="" dxfId="124">
      <formula>0</formula>
    </cfRule>
  </conditionalFormatting>
  <conditionalFormatting sqref="L43">
    <cfRule type="cellIs" priority="88" operator="greaterThan" aboveAverage="0" equalAverage="0" bottom="0" percent="0" rank="0" text="" dxfId="1061">
      <formula>0</formula>
    </cfRule>
    <cfRule type="expression" priority="89" aboveAverage="0" equalAverage="0" bottom="0" percent="0" rank="0" text="" dxfId="1062">
      <formula>$L$5:$L$44&lt;0</formula>
    </cfRule>
  </conditionalFormatting>
  <conditionalFormatting sqref="L24">
    <cfRule type="cellIs" priority="90" operator="lessThan" aboveAverage="0" equalAverage="0" bottom="0" percent="0" rank="0" text="" dxfId="95">
      <formula>0</formula>
    </cfRule>
    <cfRule type="cellIs" priority="91" operator="greaterThan" aboveAverage="0" equalAverage="0" bottom="0" percent="0" rank="0" text="" dxfId="96">
      <formula>0</formula>
    </cfRule>
  </conditionalFormatting>
  <conditionalFormatting sqref="L23">
    <cfRule type="cellIs" priority="92" operator="lessThan" aboveAverage="0" equalAverage="0" bottom="0" percent="0" rank="0" text="" dxfId="97">
      <formula>0</formula>
    </cfRule>
    <cfRule type="cellIs" priority="93" operator="greaterThan" aboveAverage="0" equalAverage="0" bottom="0" percent="0" rank="0" text="" dxfId="98">
      <formula>0</formula>
    </cfRule>
  </conditionalFormatting>
  <conditionalFormatting sqref="L22">
    <cfRule type="cellIs" priority="94" operator="lessThan" aboveAverage="0" equalAverage="0" bottom="0" percent="0" rank="0" text="" dxfId="99">
      <formula>0</formula>
    </cfRule>
    <cfRule type="cellIs" priority="95" operator="greaterThan" aboveAverage="0" equalAverage="0" bottom="0" percent="0" rank="0" text="" dxfId="100">
      <formula>0</formula>
    </cfRule>
  </conditionalFormatting>
  <conditionalFormatting sqref="L21">
    <cfRule type="cellIs" priority="96" operator="lessThan" aboveAverage="0" equalAverage="0" bottom="0" percent="0" rank="0" text="" dxfId="101">
      <formula>0</formula>
    </cfRule>
    <cfRule type="cellIs" priority="97" operator="greaterThan" aboveAverage="0" equalAverage="0" bottom="0" percent="0" rank="0" text="" dxfId="102">
      <formula>0</formula>
    </cfRule>
  </conditionalFormatting>
  <conditionalFormatting sqref="L20">
    <cfRule type="cellIs" priority="98" operator="lessThan" aboveAverage="0" equalAverage="0" bottom="0" percent="0" rank="0" text="" dxfId="103">
      <formula>0</formula>
    </cfRule>
    <cfRule type="cellIs" priority="99" operator="greaterThan" aboveAverage="0" equalAverage="0" bottom="0" percent="0" rank="0" text="" dxfId="104">
      <formula>0</formula>
    </cfRule>
  </conditionalFormatting>
  <conditionalFormatting sqref="L13">
    <cfRule type="cellIs" priority="100" operator="lessThan" aboveAverage="0" equalAverage="0" bottom="0" percent="0" rank="0" text="" dxfId="105">
      <formula>0</formula>
    </cfRule>
    <cfRule type="cellIs" priority="101" operator="greaterThan" aboveAverage="0" equalAverage="0" bottom="0" percent="0" rank="0" text="" dxfId="106">
      <formula>0</formula>
    </cfRule>
  </conditionalFormatting>
  <conditionalFormatting sqref="L12">
    <cfRule type="cellIs" priority="102" operator="lessThan" aboveAverage="0" equalAverage="0" bottom="0" percent="0" rank="0" text="" dxfId="107">
      <formula>0</formula>
    </cfRule>
    <cfRule type="cellIs" priority="103" operator="greaterThan" aboveAverage="0" equalAverage="0" bottom="0" percent="0" rank="0" text="" dxfId="108">
      <formula>0</formula>
    </cfRule>
  </conditionalFormatting>
  <conditionalFormatting sqref="L11">
    <cfRule type="cellIs" priority="104" operator="lessThan" aboveAverage="0" equalAverage="0" bottom="0" percent="0" rank="0" text="" dxfId="109">
      <formula>0</formula>
    </cfRule>
    <cfRule type="cellIs" priority="105" operator="greaterThan" aboveAverage="0" equalAverage="0" bottom="0" percent="0" rank="0" text="" dxfId="110">
      <formula>0</formula>
    </cfRule>
  </conditionalFormatting>
  <conditionalFormatting sqref="L10">
    <cfRule type="cellIs" priority="106" operator="lessThan" aboveAverage="0" equalAverage="0" bottom="0" percent="0" rank="0" text="" dxfId="111">
      <formula>0</formula>
    </cfRule>
    <cfRule type="cellIs" priority="107" operator="greaterThan" aboveAverage="0" equalAverage="0" bottom="0" percent="0" rank="0" text="" dxfId="112">
      <formula>0</formula>
    </cfRule>
  </conditionalFormatting>
  <conditionalFormatting sqref="L9">
    <cfRule type="cellIs" priority="108" operator="lessThan" aboveAverage="0" equalAverage="0" bottom="0" percent="0" rank="0" text="" dxfId="113">
      <formula>0</formula>
    </cfRule>
    <cfRule type="cellIs" priority="109" operator="greaterThan" aboveAverage="0" equalAverage="0" bottom="0" percent="0" rank="0" text="" dxfId="114">
      <formula>0</formula>
    </cfRule>
  </conditionalFormatting>
  <conditionalFormatting sqref="L8">
    <cfRule type="cellIs" priority="110" operator="lessThan" aboveAverage="0" equalAverage="0" bottom="0" percent="0" rank="0" text="" dxfId="115">
      <formula>0</formula>
    </cfRule>
    <cfRule type="cellIs" priority="111" operator="greaterThan" aboveAverage="0" equalAverage="0" bottom="0" percent="0" rank="0" text="" dxfId="116">
      <formula>0</formula>
    </cfRule>
  </conditionalFormatting>
  <conditionalFormatting sqref="L7">
    <cfRule type="cellIs" priority="112" operator="lessThan" aboveAverage="0" equalAverage="0" bottom="0" percent="0" rank="0" text="" dxfId="117">
      <formula>0</formula>
    </cfRule>
    <cfRule type="cellIs" priority="113" operator="greaterThan" aboveAverage="0" equalAverage="0" bottom="0" percent="0" rank="0" text="" dxfId="118">
      <formula>0</formula>
    </cfRule>
  </conditionalFormatting>
  <conditionalFormatting sqref="L6">
    <cfRule type="cellIs" priority="114" operator="lessThan" aboveAverage="0" equalAverage="0" bottom="0" percent="0" rank="0" text="" dxfId="119">
      <formula>0</formula>
    </cfRule>
    <cfRule type="cellIs" priority="115" operator="greaterThan" aboveAverage="0" equalAverage="0" bottom="0" percent="0" rank="0" text="" dxfId="120">
      <formula>0</formula>
    </cfRule>
  </conditionalFormatting>
  <conditionalFormatting sqref="L5">
    <cfRule type="cellIs" priority="116" operator="lessThan" aboveAverage="0" equalAverage="0" bottom="0" percent="0" rank="0" text="" dxfId="121">
      <formula>0</formula>
    </cfRule>
    <cfRule type="cellIs" priority="117" operator="greaterThan" aboveAverage="0" equalAverage="0" bottom="0" percent="0" rank="0" text="" dxfId="122">
      <formula>0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45"/>
  <sheetViews>
    <sheetView showFormulas="false" showGridLines="false" showRowColHeaders="true" showZeros="true" rightToLeft="false" tabSelected="false" showOutlineSymbols="true" defaultGridColor="true" view="normal" topLeftCell="A19" colorId="64" zoomScale="100" zoomScaleNormal="100" zoomScalePageLayoutView="100" workbookViewId="0">
      <selection pane="topLeft" activeCell="C32" activeCellId="0" sqref="C32"/>
    </sheetView>
  </sheetViews>
  <sheetFormatPr defaultColWidth="11.4453125" defaultRowHeight="14.25" zeroHeight="false" outlineLevelRow="0" outlineLevelCol="0"/>
  <cols>
    <col collapsed="false" customWidth="false" hidden="false" outlineLevel="0" max="3" min="1" style="122" width="11.44"/>
    <col collapsed="false" customWidth="true" hidden="false" outlineLevel="0" max="4" min="4" style="122" width="15"/>
    <col collapsed="false" customWidth="false" hidden="false" outlineLevel="0" max="7" min="5" style="122" width="11.44"/>
    <col collapsed="false" customWidth="true" hidden="false" outlineLevel="0" max="8" min="8" style="122" width="13.34"/>
    <col collapsed="false" customWidth="true" hidden="false" outlineLevel="0" max="9" min="9" style="122" width="18"/>
    <col collapsed="false" customWidth="false" hidden="false" outlineLevel="0" max="10" min="10" style="122" width="11.44"/>
    <col collapsed="false" customWidth="true" hidden="false" outlineLevel="0" max="11" min="11" style="122" width="22"/>
    <col collapsed="false" customWidth="false" hidden="false" outlineLevel="0" max="12" min="12" style="122" width="11.44"/>
    <col collapsed="false" customWidth="true" hidden="false" outlineLevel="0" max="13" min="13" style="122" width="14"/>
    <col collapsed="false" customWidth="false" hidden="false" outlineLevel="0" max="16384" min="14" style="122" width="11.44"/>
  </cols>
  <sheetData>
    <row r="1" customFormat="false" ht="14.25" hidden="false" customHeight="false" outlineLevel="0" collapsed="false">
      <c r="E1" s="123" t="s">
        <v>55</v>
      </c>
      <c r="F1" s="123"/>
      <c r="G1" s="123"/>
      <c r="H1" s="123"/>
      <c r="I1" s="123"/>
      <c r="J1" s="123"/>
      <c r="K1" s="123"/>
      <c r="L1" s="123"/>
    </row>
    <row r="2" customFormat="false" ht="14.25" hidden="false" customHeight="false" outlineLevel="0" collapsed="false">
      <c r="E2" s="123"/>
      <c r="F2" s="123"/>
      <c r="G2" s="123"/>
      <c r="H2" s="123"/>
      <c r="I2" s="123"/>
      <c r="J2" s="123"/>
      <c r="K2" s="123"/>
      <c r="L2" s="123"/>
    </row>
    <row r="5" customFormat="false" ht="14.25" hidden="false" customHeight="false" outlineLevel="0" collapsed="false">
      <c r="A5" s="124" t="s">
        <v>56</v>
      </c>
      <c r="B5" s="124"/>
      <c r="C5" s="124"/>
      <c r="D5" s="124"/>
      <c r="G5" s="124" t="s">
        <v>57</v>
      </c>
      <c r="H5" s="124"/>
      <c r="I5" s="124"/>
      <c r="J5" s="124"/>
      <c r="K5" s="124"/>
    </row>
    <row r="6" customFormat="false" ht="14.25" hidden="false" customHeight="false" outlineLevel="0" collapsed="false">
      <c r="A6" s="124"/>
      <c r="B6" s="124"/>
      <c r="C6" s="124"/>
      <c r="D6" s="124"/>
      <c r="E6" s="125"/>
      <c r="G6" s="124"/>
      <c r="H6" s="124"/>
      <c r="I6" s="124"/>
      <c r="J6" s="124"/>
      <c r="K6" s="124"/>
    </row>
    <row r="7" customFormat="false" ht="14.25" hidden="false" customHeight="false" outlineLevel="0" collapsed="false">
      <c r="A7" s="126" t="s">
        <v>16</v>
      </c>
      <c r="B7" s="126"/>
      <c r="C7" s="127" t="n">
        <v>-90</v>
      </c>
      <c r="D7" s="127"/>
      <c r="E7" s="125"/>
      <c r="G7" s="128" t="s">
        <v>58</v>
      </c>
      <c r="H7" s="129" t="s">
        <v>59</v>
      </c>
      <c r="I7" s="130" t="s">
        <v>8</v>
      </c>
      <c r="J7" s="131" t="s">
        <v>60</v>
      </c>
      <c r="K7" s="132" t="s">
        <v>61</v>
      </c>
    </row>
    <row r="8" customFormat="false" ht="13.8" hidden="false" customHeight="false" outlineLevel="0" collapsed="false">
      <c r="A8" s="126"/>
      <c r="B8" s="126"/>
      <c r="C8" s="127"/>
      <c r="D8" s="127"/>
      <c r="E8" s="125"/>
      <c r="G8" s="133"/>
      <c r="H8" s="134"/>
      <c r="I8" s="135"/>
      <c r="J8" s="136"/>
      <c r="K8" s="137"/>
    </row>
    <row r="9" customFormat="false" ht="13.8" hidden="false" customHeight="false" outlineLevel="0" collapsed="false">
      <c r="A9" s="138" t="s">
        <v>62</v>
      </c>
      <c r="B9" s="138"/>
      <c r="C9" s="139" t="n">
        <v>-49.98</v>
      </c>
      <c r="D9" s="139"/>
      <c r="E9" s="125"/>
      <c r="G9" s="133"/>
      <c r="H9" s="134"/>
      <c r="I9" s="135"/>
      <c r="J9" s="136"/>
      <c r="K9" s="137"/>
    </row>
    <row r="10" customFormat="false" ht="13.8" hidden="false" customHeight="false" outlineLevel="0" collapsed="false">
      <c r="A10" s="138"/>
      <c r="B10" s="138"/>
      <c r="C10" s="139"/>
      <c r="D10" s="139"/>
      <c r="E10" s="125"/>
      <c r="G10" s="133"/>
      <c r="H10" s="134"/>
      <c r="I10" s="135"/>
      <c r="J10" s="136"/>
      <c r="K10" s="137"/>
    </row>
    <row r="11" customFormat="false" ht="13.8" hidden="false" customHeight="false" outlineLevel="0" collapsed="false">
      <c r="A11" s="140" t="s">
        <v>39</v>
      </c>
      <c r="B11" s="140"/>
      <c r="C11" s="141" t="n">
        <v>-120</v>
      </c>
      <c r="D11" s="141"/>
      <c r="E11" s="125"/>
      <c r="G11" s="133"/>
      <c r="H11" s="134"/>
      <c r="I11" s="135"/>
      <c r="J11" s="136"/>
      <c r="K11" s="137"/>
    </row>
    <row r="12" customFormat="false" ht="13.8" hidden="false" customHeight="false" outlineLevel="0" collapsed="false">
      <c r="A12" s="140"/>
      <c r="B12" s="140"/>
      <c r="C12" s="141"/>
      <c r="D12" s="141"/>
      <c r="E12" s="125"/>
      <c r="G12" s="133"/>
      <c r="H12" s="134"/>
      <c r="I12" s="135"/>
      <c r="J12" s="136"/>
      <c r="K12" s="137"/>
    </row>
    <row r="13" customFormat="false" ht="14.25" hidden="false" customHeight="false" outlineLevel="0" collapsed="false">
      <c r="A13" s="142" t="s">
        <v>63</v>
      </c>
      <c r="B13" s="142"/>
      <c r="C13" s="143" t="n">
        <v>-80</v>
      </c>
      <c r="D13" s="143"/>
      <c r="E13" s="125"/>
      <c r="G13" s="133"/>
      <c r="H13" s="134"/>
      <c r="I13" s="135"/>
      <c r="J13" s="136"/>
      <c r="K13" s="137"/>
    </row>
    <row r="14" customFormat="false" ht="14.25" hidden="false" customHeight="false" outlineLevel="0" collapsed="false">
      <c r="A14" s="142"/>
      <c r="B14" s="142"/>
      <c r="C14" s="143"/>
      <c r="D14" s="143"/>
      <c r="E14" s="125"/>
      <c r="G14" s="133"/>
      <c r="H14" s="134"/>
      <c r="I14" s="135"/>
      <c r="J14" s="136"/>
      <c r="K14" s="137"/>
    </row>
    <row r="15" customFormat="false" ht="13.8" hidden="false" customHeight="false" outlineLevel="0" collapsed="false">
      <c r="A15" s="144"/>
      <c r="B15" s="144"/>
      <c r="C15" s="145"/>
      <c r="D15" s="145"/>
      <c r="E15" s="125"/>
      <c r="G15" s="133"/>
      <c r="H15" s="134"/>
      <c r="I15" s="135"/>
      <c r="J15" s="136"/>
      <c r="K15" s="137"/>
    </row>
    <row r="16" customFormat="false" ht="13.8" hidden="false" customHeight="false" outlineLevel="0" collapsed="false">
      <c r="A16" s="144"/>
      <c r="B16" s="144"/>
      <c r="C16" s="145"/>
      <c r="D16" s="145"/>
      <c r="E16" s="125"/>
      <c r="G16" s="133"/>
      <c r="H16" s="146"/>
      <c r="I16" s="147"/>
      <c r="J16" s="148"/>
      <c r="K16" s="149"/>
    </row>
    <row r="17" customFormat="false" ht="14.25" hidden="false" customHeight="true" outlineLevel="0" collapsed="false">
      <c r="A17" s="150" t="s">
        <v>35</v>
      </c>
      <c r="B17" s="150"/>
      <c r="C17" s="151" t="n">
        <v>-25.92</v>
      </c>
      <c r="D17" s="151"/>
      <c r="E17" s="125"/>
      <c r="G17" s="133"/>
      <c r="H17" s="134"/>
      <c r="I17" s="135"/>
      <c r="J17" s="136"/>
      <c r="K17" s="137"/>
    </row>
    <row r="18" customFormat="false" ht="14.25" hidden="false" customHeight="false" outlineLevel="0" collapsed="false">
      <c r="A18" s="150"/>
      <c r="B18" s="150"/>
      <c r="C18" s="151"/>
      <c r="D18" s="151"/>
      <c r="E18" s="125"/>
      <c r="G18" s="133"/>
      <c r="H18" s="134"/>
      <c r="I18" s="135"/>
      <c r="J18" s="136"/>
      <c r="K18" s="137"/>
    </row>
    <row r="19" customFormat="false" ht="15" hidden="false" customHeight="true" outlineLevel="0" collapsed="false">
      <c r="A19" s="152" t="s">
        <v>64</v>
      </c>
      <c r="B19" s="152"/>
      <c r="C19" s="153" t="n">
        <v>-15</v>
      </c>
      <c r="D19" s="153"/>
      <c r="E19" s="125"/>
      <c r="G19" s="154"/>
      <c r="H19" s="155"/>
      <c r="I19" s="156"/>
      <c r="J19" s="157"/>
      <c r="K19" s="158"/>
    </row>
    <row r="20" customFormat="false" ht="14.25" hidden="false" customHeight="false" outlineLevel="0" collapsed="false">
      <c r="A20" s="152"/>
      <c r="B20" s="152"/>
      <c r="C20" s="153"/>
      <c r="D20" s="153"/>
      <c r="E20" s="125"/>
      <c r="G20" s="159"/>
      <c r="H20" s="160"/>
      <c r="I20" s="161"/>
      <c r="J20" s="162"/>
      <c r="K20" s="163"/>
    </row>
    <row r="21" customFormat="false" ht="14.25" hidden="false" customHeight="true" outlineLevel="0" collapsed="false">
      <c r="A21" s="164" t="s">
        <v>65</v>
      </c>
      <c r="B21" s="164"/>
      <c r="C21" s="165" t="n">
        <v>-150</v>
      </c>
      <c r="D21" s="165"/>
      <c r="E21" s="125"/>
      <c r="G21" s="159"/>
      <c r="H21" s="160"/>
      <c r="I21" s="161"/>
      <c r="J21" s="162"/>
      <c r="K21" s="163"/>
    </row>
    <row r="22" customFormat="false" ht="14.25" hidden="false" customHeight="false" outlineLevel="0" collapsed="false">
      <c r="A22" s="164"/>
      <c r="B22" s="164"/>
      <c r="C22" s="165"/>
      <c r="D22" s="165"/>
      <c r="E22" s="125"/>
      <c r="G22" s="159"/>
      <c r="H22" s="160"/>
      <c r="I22" s="161"/>
      <c r="J22" s="162"/>
      <c r="K22" s="163"/>
    </row>
    <row r="23" customFormat="false" ht="14.25" hidden="false" customHeight="true" outlineLevel="0" collapsed="false">
      <c r="A23" s="166"/>
      <c r="B23" s="166"/>
      <c r="C23" s="167"/>
      <c r="D23" s="167"/>
      <c r="E23" s="125"/>
      <c r="G23" s="159"/>
      <c r="H23" s="160"/>
      <c r="I23" s="161"/>
      <c r="J23" s="162"/>
      <c r="K23" s="163"/>
    </row>
    <row r="24" customFormat="false" ht="14.25" hidden="false" customHeight="false" outlineLevel="0" collapsed="false">
      <c r="A24" s="166"/>
      <c r="B24" s="166"/>
      <c r="C24" s="167"/>
      <c r="D24" s="167"/>
      <c r="E24" s="125"/>
      <c r="G24" s="159"/>
      <c r="H24" s="160"/>
      <c r="I24" s="161"/>
      <c r="J24" s="162"/>
      <c r="K24" s="163"/>
    </row>
    <row r="25" customFormat="false" ht="13.8" hidden="false" customHeight="false" outlineLevel="0" collapsed="false">
      <c r="A25" s="168" t="s">
        <v>13</v>
      </c>
      <c r="B25" s="168"/>
      <c r="C25" s="169" t="n">
        <v>-1400</v>
      </c>
      <c r="D25" s="169"/>
      <c r="E25" s="125"/>
      <c r="G25" s="159"/>
      <c r="H25" s="160"/>
      <c r="I25" s="161"/>
      <c r="J25" s="162"/>
      <c r="K25" s="163"/>
    </row>
    <row r="26" customFormat="false" ht="13.8" hidden="false" customHeight="false" outlineLevel="0" collapsed="false">
      <c r="A26" s="168"/>
      <c r="B26" s="168"/>
      <c r="C26" s="169"/>
      <c r="D26" s="169"/>
      <c r="E26" s="125"/>
    </row>
    <row r="27" customFormat="false" ht="14.25" hidden="false" customHeight="false" outlineLevel="0" collapsed="false">
      <c r="E27" s="125"/>
    </row>
    <row r="28" customFormat="false" ht="14.25" hidden="false" customHeight="false" outlineLevel="0" collapsed="false">
      <c r="E28" s="125"/>
    </row>
    <row r="30" customFormat="false" ht="28.5" hidden="false" customHeight="false" outlineLevel="0" collapsed="false">
      <c r="A30" s="170"/>
      <c r="B30" s="171" t="s">
        <v>16</v>
      </c>
      <c r="C30" s="172" t="s">
        <v>66</v>
      </c>
      <c r="D30" s="140" t="s">
        <v>39</v>
      </c>
      <c r="E30" s="173" t="s">
        <v>18</v>
      </c>
      <c r="F30" s="174"/>
      <c r="G30" s="175" t="s">
        <v>35</v>
      </c>
      <c r="H30" s="176" t="s">
        <v>33</v>
      </c>
      <c r="I30" s="177" t="s">
        <v>65</v>
      </c>
      <c r="J30" s="178" t="s">
        <v>67</v>
      </c>
      <c r="K30" s="179" t="s">
        <v>13</v>
      </c>
    </row>
    <row r="31" customFormat="false" ht="13.8" hidden="false" customHeight="false" outlineLevel="0" collapsed="false">
      <c r="A31" s="180" t="s">
        <v>68</v>
      </c>
      <c r="B31" s="181" t="n">
        <f aca="false">SUMIF('01'!D5:D48,"TEGO",'01'!C5:C48)</f>
        <v>-93.04</v>
      </c>
      <c r="C31" s="182" t="n">
        <f aca="false">SUMIF('01'!D5:D48,"Orange",'01'!C5:C48)</f>
        <v>-49.58</v>
      </c>
      <c r="D31" s="183" t="n">
        <f aca="false">SUMIF(Tableau322224[Raison],"CARAC",Tableau322224[Débit])</f>
        <v>-120</v>
      </c>
      <c r="E31" s="184" t="n">
        <f aca="false">SUMIF('01'!D5:D48,"EPARMIL",'01'!C5:C48)</f>
        <v>-80</v>
      </c>
      <c r="F31" s="184" t="n">
        <f aca="false">SUMIF('01'!D5:D48,"Darkwood",'01'!C5:C48)</f>
        <v>0</v>
      </c>
      <c r="G31" s="185" t="n">
        <f aca="false">SUMIF(Tableau322224[Raison],"Crédit Mutuel",Tableau322224[Débit])</f>
        <v>-26.17</v>
      </c>
      <c r="H31" s="184" t="n">
        <f aca="false">SUMIF('01'!$D$5:$D$48,H30,'01'!$C$5:$C$48)</f>
        <v>-15</v>
      </c>
      <c r="I31" s="184" t="n">
        <f aca="false">SUMIF('01'!$D$5:$D$48,$I$30,'01'!$C$5:$C$48)</f>
        <v>0</v>
      </c>
      <c r="J31" s="186" t="n">
        <f aca="false">SUMIF(Tableau322224[Raison],"GoWod",Tableau322224[Débit])</f>
        <v>0</v>
      </c>
      <c r="K31" s="187" t="n">
        <f aca="false">SUMIF('01'!D5:D48,"Loyer",'01'!C5:C48)</f>
        <v>-1400</v>
      </c>
    </row>
    <row r="32" customFormat="false" ht="13.8" hidden="false" customHeight="false" outlineLevel="0" collapsed="false">
      <c r="A32" s="188" t="s">
        <v>69</v>
      </c>
      <c r="B32" s="189" t="n">
        <f aca="false">SUMIF('02'!D5:D17,"TEGO",'02'!C5:C17)</f>
        <v>-105.8</v>
      </c>
      <c r="C32" s="190" t="n">
        <f aca="false">SUMIF('02'!D5:D48,"Orange",'02'!C5:C48)</f>
        <v>0</v>
      </c>
      <c r="D32" s="191" t="n">
        <f aca="false">SUMIF(Tableau3222[Raison],"CARAC",Tableau3222[Débit])</f>
        <v>0</v>
      </c>
      <c r="E32" s="192" t="n">
        <f aca="false">SUMIF(Tableau3222[Raison],"EPARMIL",Tableau3222[Débit])</f>
        <v>-80</v>
      </c>
      <c r="F32" s="193" t="n">
        <f aca="false">SUMIF(Tableau3222[Raison],"Darkwood",Tableau3222[Débit])</f>
        <v>0</v>
      </c>
      <c r="G32" s="194" t="n">
        <f aca="false">SUMIF(Tableau3222[Raison],"Crédit Mutuel",Tableau3222[Débit])</f>
        <v>0</v>
      </c>
      <c r="H32" s="195" t="n">
        <f aca="false">SUMIF(Tableau3222[Raison],H30,Tableau3222[Débit])</f>
        <v>0</v>
      </c>
      <c r="I32" s="184" t="n">
        <f aca="false">SUMIF('02'!$D$5:$D$48,$I$30,'02'!$C$5:$C$48)</f>
        <v>0</v>
      </c>
      <c r="J32" s="196" t="n">
        <f aca="false">SUMIF(Tableau3222[Raison],"GoWod",Tableau3222[Débit])</f>
        <v>0</v>
      </c>
      <c r="K32" s="197" t="n">
        <f aca="false">SUMIF(Tableau3222[Raison],"Loyer",Tableau3222[Débit])</f>
        <v>-1400</v>
      </c>
    </row>
    <row r="33" customFormat="false" ht="13.8" hidden="false" customHeight="false" outlineLevel="0" collapsed="false">
      <c r="A33" s="188" t="s">
        <v>70</v>
      </c>
      <c r="B33" s="189" t="n">
        <f aca="false">SUMIF('03'!D5:D70,"TEGO",'03'!C5:C70)</f>
        <v>0</v>
      </c>
      <c r="C33" s="190" t="n">
        <f aca="false">SUMIF('03'!D5:D69,"Orange",'03'!C5:C69)</f>
        <v>0</v>
      </c>
      <c r="D33" s="191" t="n">
        <f aca="false">SUMIF(Tableau3220[Raison],"CARAC",Tableau3220[Débit])</f>
        <v>0</v>
      </c>
      <c r="E33" s="192" t="n">
        <f aca="false">SUMIF(Tableau3220[Raison],"EPARMIL",Tableau3220[Débit])</f>
        <v>0</v>
      </c>
      <c r="F33" s="193" t="n">
        <f aca="false">SUMIF(Tableau3220[Raison],F30,Tableau3220[Débit])</f>
        <v>0</v>
      </c>
      <c r="G33" s="194" t="n">
        <f aca="false">SUMIF(Tableau3220[Raison],"Crédit Mutuel",Tableau3220[Débit])</f>
        <v>0</v>
      </c>
      <c r="H33" s="195" t="n">
        <f aca="false">SUMIF(Tableau3220[Raison],H30,Tableau3220[Débit])</f>
        <v>0</v>
      </c>
      <c r="I33" s="184" t="n">
        <f aca="false">SUMIF('03'!$D$5:$D$48,$I$30,'03'!$C$5:$C$48)</f>
        <v>0</v>
      </c>
      <c r="J33" s="196" t="n">
        <f aca="false">SUMIF(Tableau3220[Raison],"GoWod",Tableau3220[Débit])</f>
        <v>0</v>
      </c>
      <c r="K33" s="197" t="n">
        <f aca="false">SUMIF(Tableau3220[Raison],"Loyer",Tableau3220[Débit])</f>
        <v>0</v>
      </c>
    </row>
    <row r="34" customFormat="false" ht="13.8" hidden="false" customHeight="false" outlineLevel="0" collapsed="false">
      <c r="A34" s="188" t="s">
        <v>71</v>
      </c>
      <c r="B34" s="189" t="n">
        <f aca="false">SUMIF('04'!D5:D39,"TEGO",'04'!C5:C39)</f>
        <v>0</v>
      </c>
      <c r="C34" s="190" t="n">
        <f aca="false">SUMIF('04'!D7:D68,"Orange",'04'!C7:C68)</f>
        <v>0</v>
      </c>
      <c r="D34" s="191" t="n">
        <f aca="false">SUMIF(Tableau3218[Raison],"CARAC",Tableau3218[Débit])</f>
        <v>0</v>
      </c>
      <c r="E34" s="192" t="n">
        <f aca="false">SUMIF(Tableau3218[Raison],"EPARMIL",Tableau3218[Débit])</f>
        <v>0</v>
      </c>
      <c r="F34" s="193" t="n">
        <f aca="false">SUMIF(Tableau3218[Raison],F30,Tableau3218[Débit])</f>
        <v>0</v>
      </c>
      <c r="G34" s="194" t="n">
        <f aca="false">SUMIF(Tableau3218[Raison],"Crédit Mutuel",Tableau3218[Débit])</f>
        <v>0</v>
      </c>
      <c r="H34" s="195" t="n">
        <f aca="false">SUMIF(Tableau3218[Raison],H30,Tableau3218[Débit])</f>
        <v>0</v>
      </c>
      <c r="I34" s="184" t="n">
        <f aca="false">SUMIF('04'!$D$5:$D$48,$I$30,'04'!$C$5:$C$48)</f>
        <v>0</v>
      </c>
      <c r="J34" s="196" t="n">
        <f aca="false">SUMIF(Tableau3218[Raison],"GoWod",Tableau3218[Débit])</f>
        <v>0</v>
      </c>
      <c r="K34" s="197" t="n">
        <f aca="false">SUMIF(Tableau3218[Raison],"Loyer",Tableau3218[Débit])</f>
        <v>0</v>
      </c>
    </row>
    <row r="35" customFormat="false" ht="13.8" hidden="false" customHeight="false" outlineLevel="0" collapsed="false">
      <c r="A35" s="188" t="s">
        <v>72</v>
      </c>
      <c r="B35" s="189" t="n">
        <f aca="false">SUMIF('05'!D5:D76,"TEGO",'05'!C5:C76)</f>
        <v>0</v>
      </c>
      <c r="C35" s="190" t="n">
        <f aca="false">SUMIF('05'!D5:D75,"Orange",'05'!C5:C75)+SUMIF('05'!D5:D75,"Bouygues",'05'!C5:C75)</f>
        <v>0</v>
      </c>
      <c r="D35" s="191" t="n">
        <f aca="false">SUMIF(Tableau3216[Raison],"CARAC",Tableau3216[Débit])</f>
        <v>0</v>
      </c>
      <c r="E35" s="192" t="n">
        <f aca="false">SUMIF(Tableau3216[Raison],"EPARMIL",Tableau3216[Débit])</f>
        <v>0</v>
      </c>
      <c r="F35" s="193" t="n">
        <f aca="false">SUMIF(Tableau3216[Raison],F30,Tableau3216[Débit])</f>
        <v>0</v>
      </c>
      <c r="G35" s="194" t="n">
        <f aca="false">SUMIF(Tableau3216[Raison],"Crédit Mutuel",Tableau3216[Débit])</f>
        <v>0</v>
      </c>
      <c r="H35" s="195" t="n">
        <f aca="false">SUMIF(Tableau3216[Raison],H30,Tableau3216[Débit])</f>
        <v>0</v>
      </c>
      <c r="I35" s="184" t="n">
        <f aca="false">SUMIF('05'!$D$5:$D$48,$I$30,'05'!$C$5:$C$48)</f>
        <v>0</v>
      </c>
      <c r="J35" s="196" t="n">
        <f aca="false">SUMIF(Tableau3216[Raison],"GoWod",Tableau3216[Débit])</f>
        <v>0</v>
      </c>
      <c r="K35" s="197" t="n">
        <f aca="false">SUMIF(Tableau3216[Raison],"Loyer",Tableau3216[Débit])</f>
        <v>0</v>
      </c>
    </row>
    <row r="36" customFormat="false" ht="13.8" hidden="false" customHeight="false" outlineLevel="0" collapsed="false">
      <c r="A36" s="188" t="s">
        <v>73</v>
      </c>
      <c r="B36" s="189" t="n">
        <f aca="false">SUMIF('06'!D5:D77,"TEGO",'06'!C5:C77)</f>
        <v>0</v>
      </c>
      <c r="C36" s="190" t="n">
        <f aca="false">SUMIF('06'!D5:D76,"Orange",'06'!C5:C76)+SUMIF('06'!D5:D76,"Bouygues",'06'!C5:C76)</f>
        <v>0</v>
      </c>
      <c r="D36" s="191" t="n">
        <f aca="false">SUMIF(Tableau3214[Raison],"CARAC",Tableau3214[Débit])</f>
        <v>0</v>
      </c>
      <c r="E36" s="192" t="n">
        <f aca="false">SUMIF(Tableau3214[Raison],"EPARMIL",Tableau3214[Débit])</f>
        <v>0</v>
      </c>
      <c r="F36" s="193" t="n">
        <f aca="false">SUMIF(Tableau3214[Raison],F30,Tableau3214[Débit])</f>
        <v>0</v>
      </c>
      <c r="G36" s="194" t="n">
        <f aca="false">SUMIF(Tableau3214[Raison],"Crédit Mutuel",Tableau3214[Débit])</f>
        <v>0</v>
      </c>
      <c r="H36" s="195" t="n">
        <f aca="false">SUMIF(Tableau3214[Raison],H30,Tableau3214[Débit])</f>
        <v>0</v>
      </c>
      <c r="I36" s="184" t="n">
        <f aca="false">SUMIF('06'!$D$5:$D$48,$I$30,'06'!$C$5:$C$48)</f>
        <v>0</v>
      </c>
      <c r="J36" s="196" t="n">
        <f aca="false">SUMIF(Tableau3214[Raison],"GoWod",Tableau3214[Débit])</f>
        <v>0</v>
      </c>
      <c r="K36" s="197" t="n">
        <f aca="false">SUMIF(Tableau3214[Raison],"Loyer",Tableau3214[Débit])</f>
        <v>0</v>
      </c>
    </row>
    <row r="37" customFormat="false" ht="13.8" hidden="false" customHeight="false" outlineLevel="0" collapsed="false">
      <c r="A37" s="188" t="s">
        <v>74</v>
      </c>
      <c r="B37" s="189" t="n">
        <f aca="false">SUMIF('07'!D5:D78,"TEGO",'07'!C5:C78)</f>
        <v>0</v>
      </c>
      <c r="C37" s="190" t="n">
        <f aca="false">SUMIF('07'!D5:D77,"Orange",'07'!C5:C77)+SUMIF('07'!D5:D77,"Bouygues",'07'!C5:C77)</f>
        <v>0</v>
      </c>
      <c r="D37" s="191" t="n">
        <f aca="false">SUMIF(Tableau3212[Raison],"CARAC",Tableau3212[Débit])</f>
        <v>0</v>
      </c>
      <c r="E37" s="192" t="n">
        <f aca="false">SUMIF(Tableau3212[Raison],"EPARMIL",Tableau3212[Débit])</f>
        <v>0</v>
      </c>
      <c r="F37" s="193" t="n">
        <f aca="false">SUMIF(Tableau3212[Raison],"Millesime",Tableau3212[Débit])</f>
        <v>0</v>
      </c>
      <c r="G37" s="194" t="n">
        <f aca="false">SUMIF(Tableau3212[Raison],"Crédit Mutuel",Tableau3212[Débit])</f>
        <v>0</v>
      </c>
      <c r="H37" s="195" t="n">
        <f aca="false">SUMIF(Tableau3212[Raison],H30,Tableau3212[Débit])</f>
        <v>0</v>
      </c>
      <c r="I37" s="184" t="n">
        <f aca="false">SUMIF('07'!$D$5:$D$48,$I$30,'07'!$C$5:$C$48)</f>
        <v>0</v>
      </c>
      <c r="J37" s="196" t="n">
        <f aca="false">SUMIF(Tableau3212[Raison],"GoWod",Tableau3212[Débit])</f>
        <v>0</v>
      </c>
      <c r="K37" s="197" t="n">
        <f aca="false">SUMIF(Tableau3212[Raison],"Loyer",Tableau3212[Débit])</f>
        <v>0</v>
      </c>
    </row>
    <row r="38" customFormat="false" ht="13.8" hidden="false" customHeight="false" outlineLevel="0" collapsed="false">
      <c r="A38" s="188" t="s">
        <v>75</v>
      </c>
      <c r="B38" s="189" t="n">
        <f aca="false">SUMIF('08'!D5:D52,"TEGO",'08'!C5:C52)</f>
        <v>0</v>
      </c>
      <c r="C38" s="190" t="n">
        <f aca="false">SUMIF('08'!D5:D51,"Orange",'08'!C5:C51)+SUMIF('08'!D5:D51,"Bouygues",'08'!C5:C51)</f>
        <v>0</v>
      </c>
      <c r="D38" s="191" t="n">
        <f aca="false">SUMIF(Tableau3210[Raison],"CARAC",Tableau3210[Débit])</f>
        <v>0</v>
      </c>
      <c r="E38" s="192" t="n">
        <f aca="false">SUMIF(Tableau3210[Raison],"EPARMIL",Tableau3210[Débit])</f>
        <v>0</v>
      </c>
      <c r="F38" s="193" t="n">
        <f aca="false">SUMIF(Tableau3210[Raison],"Millesime",Tableau3210[Débit])</f>
        <v>0</v>
      </c>
      <c r="G38" s="194" t="n">
        <f aca="false">SUMIF(Tableau3210[Raison],"Crédit Mutuel",Tableau3210[Débit])</f>
        <v>0</v>
      </c>
      <c r="H38" s="195" t="n">
        <f aca="false">SUMIF(Tableau3210[Raison],H30,Tableau3210[Débit])</f>
        <v>0</v>
      </c>
      <c r="I38" s="184" t="n">
        <f aca="false">SUMIF('08'!$D$5:$D$47,$I$30,'08'!$C$5:$C$47)</f>
        <v>0</v>
      </c>
      <c r="J38" s="196" t="n">
        <f aca="false">SUMIF(Tableau3210[Raison],"GoWod",Tableau3210[Débit])</f>
        <v>0</v>
      </c>
      <c r="K38" s="197" t="n">
        <f aca="false">SUMIF(Tableau3210[Raison],"Loyer",Tableau3210[Débit])</f>
        <v>0</v>
      </c>
    </row>
    <row r="39" customFormat="false" ht="13.8" hidden="false" customHeight="false" outlineLevel="0" collapsed="false">
      <c r="A39" s="188" t="s">
        <v>76</v>
      </c>
      <c r="B39" s="189" t="n">
        <f aca="false">SUMIF('09'!D5:D40,"TEGO",'09'!C5:C40)</f>
        <v>0</v>
      </c>
      <c r="C39" s="190" t="n">
        <f aca="false">SUMIF('09'!D5:D39,"Orange",'09'!C5:C39)+SUMIF('09'!D5:D39,"Bouygues",'09'!C5:C39)</f>
        <v>0</v>
      </c>
      <c r="D39" s="191" t="n">
        <f aca="false">SUMIF(Tableau327[Raison],"CARAC",Tableau327[Débit])</f>
        <v>0</v>
      </c>
      <c r="E39" s="192" t="n">
        <f aca="false">SUMIF(Tableau327[Raison],"EPARMIL",Tableau327[Débit])</f>
        <v>0</v>
      </c>
      <c r="F39" s="193" t="n">
        <f aca="false">SUMIF(Tableau327[Raison],"Millesime",Tableau327[Débit])</f>
        <v>0</v>
      </c>
      <c r="G39" s="194" t="n">
        <f aca="false">SUMIF(Tableau327[Raison],"Crédit Mutuel",Tableau327[Débit])</f>
        <v>0</v>
      </c>
      <c r="H39" s="195" t="n">
        <f aca="false">SUMIF(Tableau327[Raison],H30,Tableau327[Débit])</f>
        <v>0</v>
      </c>
      <c r="I39" s="184" t="n">
        <f aca="false">SUMIF('09'!$D$5:$D$48,$I$30,'09'!$C$5:$C$48)</f>
        <v>0</v>
      </c>
      <c r="J39" s="196" t="n">
        <f aca="false">SUMIF(Tableau327[Raison],"GoWod",Tableau327[Débit])</f>
        <v>0</v>
      </c>
      <c r="K39" s="197" t="n">
        <f aca="false">SUMIF(Tableau327[Raison],"Loyer",Tableau327[Débit])</f>
        <v>0</v>
      </c>
    </row>
    <row r="40" customFormat="false" ht="13.8" hidden="false" customHeight="false" outlineLevel="0" collapsed="false">
      <c r="A40" s="188" t="s">
        <v>77</v>
      </c>
      <c r="B40" s="189" t="n">
        <f aca="false">SUMIF('10'!D5:D47,"TEGO",'10'!C5:C47)</f>
        <v>0</v>
      </c>
      <c r="C40" s="190" t="n">
        <f aca="false">SUMIF('10'!D5:D46,"Orange",'10'!C5:C46)+SUMIF('10'!D5:D46,"Bouygues",'10'!C5:C46)</f>
        <v>0</v>
      </c>
      <c r="D40" s="191" t="n">
        <f aca="false">SUMIF(Tableau325[Raison],"CARAC",Tableau325[Débit])</f>
        <v>0</v>
      </c>
      <c r="E40" s="192" t="n">
        <f aca="false">SUMIF(Tableau325[Raison],"EPARMIL",Tableau325[Débit])</f>
        <v>0</v>
      </c>
      <c r="F40" s="193" t="n">
        <f aca="false">SUMIF(Tableau325[Raison],"Millesime",Tableau325[Débit])</f>
        <v>0</v>
      </c>
      <c r="G40" s="194" t="n">
        <f aca="false">SUMIF(Tableau325[Raison],"Crédit Mutuel",Tableau325[Débit])</f>
        <v>0</v>
      </c>
      <c r="H40" s="195" t="n">
        <f aca="false">SUMIF(Tableau325[Raison],H30,Tableau325[Débit])</f>
        <v>0</v>
      </c>
      <c r="I40" s="184" t="n">
        <f aca="false">SUMIF('10'!$D$5:$D$48,$I$30,'10'!$C$5:$C$48)</f>
        <v>0</v>
      </c>
      <c r="J40" s="196" t="n">
        <f aca="false">SUMIF(Tableau325[Raison],"GoWod",Tableau325[Débit])</f>
        <v>0</v>
      </c>
      <c r="K40" s="197" t="n">
        <f aca="false">SUMIF(Tableau325[Raison],"Loyer",Tableau325[Débit])</f>
        <v>0</v>
      </c>
    </row>
    <row r="41" customFormat="false" ht="13.8" hidden="false" customHeight="false" outlineLevel="0" collapsed="false">
      <c r="A41" s="188" t="s">
        <v>78</v>
      </c>
      <c r="B41" s="189" t="n">
        <f aca="false">SUMIF('11'!D5:D81,"TEGO",'11'!C5:C81)</f>
        <v>0</v>
      </c>
      <c r="C41" s="190" t="n">
        <f aca="false">SUMIF('11'!D5:D80,"Orange",'11'!C5:C80)+SUMIF('11'!D5:D80,"Bouygues",'11'!C5:C80)</f>
        <v>0</v>
      </c>
      <c r="D41" s="191" t="n">
        <f aca="false">SUMIF(Tableau32[Raison],"CARAC",Tableau32[Débit])</f>
        <v>0</v>
      </c>
      <c r="E41" s="192" t="n">
        <f aca="false">SUMIF(Tableau32[Raison],"EPARMIL",Tableau32[Débit])</f>
        <v>0</v>
      </c>
      <c r="F41" s="193" t="n">
        <f aca="false">SUMIF(Tableau32[Raison],"Millesime",Tableau32[Débit])</f>
        <v>0</v>
      </c>
      <c r="G41" s="194" t="n">
        <f aca="false">SUMIF(Tableau32[Raison],"Crédit Mutuel",Tableau32[Débit])</f>
        <v>0</v>
      </c>
      <c r="H41" s="195" t="n">
        <f aca="false">SUMIF(Tableau32[Raison],H30,Tableau32[Débit])</f>
        <v>0</v>
      </c>
      <c r="I41" s="184" t="n">
        <f aca="false">SUMIF('11'!$D$5:$D$48,$I$30,'11'!$C$5:$C$48)</f>
        <v>0</v>
      </c>
      <c r="J41" s="196" t="n">
        <f aca="false">SUMIF(Tableau32[Raison],"GoWod",Tableau32[Débit])</f>
        <v>0</v>
      </c>
      <c r="K41" s="197" t="n">
        <f aca="false">SUMIF(Tableau32[Raison],"Loyer",Tableau32[Débit])</f>
        <v>0</v>
      </c>
    </row>
    <row r="42" customFormat="false" ht="13.8" hidden="false" customHeight="false" outlineLevel="0" collapsed="false">
      <c r="A42" s="198" t="s">
        <v>79</v>
      </c>
      <c r="B42" s="199" t="n">
        <f aca="false">SUMIF('12'!D5:D82,"TEGO",'12'!C5:C82)</f>
        <v>0</v>
      </c>
      <c r="C42" s="200" t="n">
        <f aca="false">SUMIF('12'!D5:D81,"Orange",'12'!C5:C81)+SUMIF('12'!D5:D81,"Bouygues",'12'!C5:C81)</f>
        <v>0</v>
      </c>
      <c r="D42" s="201" t="n">
        <f aca="false">SUMIF(Tableau3[Raison],"CARAC",Tableau3[Débit])</f>
        <v>0</v>
      </c>
      <c r="E42" s="202" t="n">
        <f aca="false">SUMIF(Tableau3[Raison],"EPARMIL",Tableau3[Débit])</f>
        <v>0</v>
      </c>
      <c r="F42" s="203" t="n">
        <f aca="false">SUMIF(Tableau3[Raison],"Millesime",Tableau3[Débit])</f>
        <v>0</v>
      </c>
      <c r="G42" s="204" t="n">
        <f aca="false">SUMIF(Tableau3[Raison],"Crédit Mutuel",Tableau3[Débit])</f>
        <v>0</v>
      </c>
      <c r="H42" s="205" t="n">
        <f aca="false">SUMIF(Tableau3[Raison],H30,Tableau3[Débit])</f>
        <v>0</v>
      </c>
      <c r="I42" s="184" t="n">
        <f aca="false">SUMIF('12'!$D$5:$D$50,$I$30,'12'!$C$5:$C$50)</f>
        <v>0</v>
      </c>
      <c r="J42" s="206" t="n">
        <f aca="false">SUMIF(Tableau3[Raison],"GoWod",Tableau3[Débit])</f>
        <v>0</v>
      </c>
      <c r="K42" s="207" t="n">
        <f aca="false">SUMIF(Tableau3[Raison],"Loyer",Tableau3[Débit])</f>
        <v>0</v>
      </c>
      <c r="L42" s="208"/>
    </row>
    <row r="43" customFormat="false" ht="13.8" hidden="false" customHeight="false" outlineLevel="0" collapsed="false"/>
    <row r="44" customFormat="false" ht="13.8" hidden="false" customHeight="false" outlineLevel="0" collapsed="false">
      <c r="B44" s="209"/>
      <c r="C44" s="209"/>
      <c r="D44" s="209"/>
      <c r="E44" s="209"/>
      <c r="F44" s="209"/>
      <c r="G44" s="209"/>
      <c r="H44" s="209"/>
      <c r="I44" s="209"/>
      <c r="J44" s="209"/>
      <c r="K44" s="209"/>
      <c r="L44" s="209"/>
    </row>
    <row r="45" customFormat="false" ht="13.8" hidden="false" customHeight="false" outlineLevel="0" collapsed="false">
      <c r="H45" s="210"/>
    </row>
  </sheetData>
  <mergeCells count="23">
    <mergeCell ref="E1:L2"/>
    <mergeCell ref="A5:D6"/>
    <mergeCell ref="G5:K6"/>
    <mergeCell ref="A7:B8"/>
    <mergeCell ref="C7:D8"/>
    <mergeCell ref="A9:B10"/>
    <mergeCell ref="C9:D10"/>
    <mergeCell ref="A11:B12"/>
    <mergeCell ref="C11:D12"/>
    <mergeCell ref="A13:B14"/>
    <mergeCell ref="C13:D14"/>
    <mergeCell ref="A15:B16"/>
    <mergeCell ref="C15:D16"/>
    <mergeCell ref="A17:B18"/>
    <mergeCell ref="C17:D18"/>
    <mergeCell ref="A19:B20"/>
    <mergeCell ref="C19:D20"/>
    <mergeCell ref="A21:B22"/>
    <mergeCell ref="C21:D22"/>
    <mergeCell ref="A23:B24"/>
    <mergeCell ref="C23:D24"/>
    <mergeCell ref="A25:B26"/>
    <mergeCell ref="C25:D26"/>
  </mergeCells>
  <conditionalFormatting sqref="C31:C42">
    <cfRule type="cellIs" priority="2" operator="equal" aboveAverage="0" equalAverage="0" bottom="0" percent="0" rank="0" text="" dxfId="1063">
      <formula>0</formula>
    </cfRule>
    <cfRule type="cellIs" priority="3" operator="equal" aboveAverage="0" equalAverage="0" bottom="0" percent="0" rank="0" text="" dxfId="1064">
      <formula>0</formula>
    </cfRule>
  </conditionalFormatting>
  <conditionalFormatting sqref="B31:B42">
    <cfRule type="cellIs" priority="4" operator="notEqual" aboveAverage="0" equalAverage="0" bottom="0" percent="0" rank="0" text="" dxfId="1065">
      <formula>0</formula>
    </cfRule>
    <cfRule type="cellIs" priority="5" operator="equal" aboveAverage="0" equalAverage="0" bottom="0" percent="0" rank="0" text="" dxfId="1066">
      <formula>0</formula>
    </cfRule>
  </conditionalFormatting>
  <conditionalFormatting sqref="K31:K42">
    <cfRule type="cellIs" priority="6" operator="notEqual" aboveAverage="0" equalAverage="0" bottom="0" percent="0" rank="0" text="" dxfId="1067">
      <formula>0</formula>
    </cfRule>
    <cfRule type="cellIs" priority="7" operator="equal" aboveAverage="0" equalAverage="0" bottom="0" percent="0" rank="0" text="" dxfId="1068">
      <formula>0</formula>
    </cfRule>
  </conditionalFormatting>
  <conditionalFormatting sqref="H30:H42">
    <cfRule type="cellIs" priority="8" operator="notEqual" aboveAverage="0" equalAverage="0" bottom="0" percent="0" rank="0" text="" dxfId="1069">
      <formula>0</formula>
    </cfRule>
    <cfRule type="cellIs" priority="9" operator="equal" aboveAverage="0" equalAverage="0" bottom="0" percent="0" rank="0" text="" dxfId="1070">
      <formula>0</formula>
    </cfRule>
  </conditionalFormatting>
  <conditionalFormatting sqref="I31:I42">
    <cfRule type="cellIs" priority="10" operator="notEqual" aboveAverage="0" equalAverage="0" bottom="0" percent="0" rank="0" text="" dxfId="1071">
      <formula>0</formula>
    </cfRule>
    <cfRule type="cellIs" priority="11" operator="equal" aboveAverage="0" equalAverage="0" bottom="0" percent="0" rank="0" text="" dxfId="1072">
      <formula>0</formula>
    </cfRule>
  </conditionalFormatting>
  <conditionalFormatting sqref="E31">
    <cfRule type="cellIs" priority="12" operator="notEqual" aboveAverage="0" equalAverage="0" bottom="0" percent="0" rank="0" text="" dxfId="1073">
      <formula>0</formula>
    </cfRule>
  </conditionalFormatting>
  <conditionalFormatting sqref="G31">
    <cfRule type="cellIs" priority="13" operator="equal" aboveAverage="0" equalAverage="0" bottom="0" percent="0" rank="0" text="" dxfId="1074">
      <formula>0</formula>
    </cfRule>
  </conditionalFormatting>
  <conditionalFormatting sqref="C31">
    <cfRule type="cellIs" priority="14" operator="equal" aboveAverage="0" equalAverage="0" bottom="0" percent="0" rank="0" text="" dxfId="1075">
      <formula>0</formula>
    </cfRule>
  </conditionalFormatting>
  <conditionalFormatting sqref="G31:G42">
    <cfRule type="cellIs" priority="15" operator="equal" aboveAverage="0" equalAverage="0" bottom="0" percent="0" rank="0" text="" dxfId="1076">
      <formula>0</formula>
    </cfRule>
  </conditionalFormatting>
  <conditionalFormatting sqref="F31:F42">
    <cfRule type="cellIs" priority="16" operator="equal" aboveAverage="0" equalAverage="0" bottom="0" percent="0" rank="0" text="" dxfId="1077">
      <formula>0</formula>
    </cfRule>
  </conditionalFormatting>
  <conditionalFormatting sqref="D31:D42">
    <cfRule type="cellIs" priority="17" operator="equal" aboveAverage="0" equalAverage="0" bottom="0" percent="0" rank="0" text="" dxfId="1078">
      <formula>0</formula>
    </cfRule>
  </conditionalFormatting>
  <conditionalFormatting sqref="E31:E42">
    <cfRule type="cellIs" priority="18" operator="equal" aboveAverage="0" equalAverage="0" bottom="0" percent="0" rank="0" text="" dxfId="1079">
      <formula>0</formula>
    </cfRule>
  </conditionalFormatting>
  <conditionalFormatting sqref="J31">
    <cfRule type="cellIs" priority="19" operator="notEqual" aboveAverage="0" equalAverage="0" bottom="0" percent="0" rank="0" text="" dxfId="1080">
      <formula>0</formula>
    </cfRule>
  </conditionalFormatting>
  <conditionalFormatting sqref="J31:J42">
    <cfRule type="cellIs" priority="20" operator="equal" aboveAverage="0" equalAverage="0" bottom="0" percent="0" rank="0" text="" dxfId="1081">
      <formula>0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2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3" activeCellId="0" sqref="B23"/>
    </sheetView>
  </sheetViews>
  <sheetFormatPr defaultColWidth="11.4453125" defaultRowHeight="14.25" zeroHeight="false" outlineLevelRow="0" outlineLevelCol="0"/>
  <cols>
    <col collapsed="false" customWidth="true" hidden="false" outlineLevel="0" max="1" min="1" style="32" width="31.33"/>
  </cols>
  <sheetData>
    <row r="1" customFormat="false" ht="14.25" hidden="false" customHeight="false" outlineLevel="0" collapsed="false">
      <c r="A1" s="211" t="s">
        <v>80</v>
      </c>
      <c r="B1" s="211"/>
      <c r="C1" s="212" t="n">
        <f aca="false">'01'!B1</f>
        <v>1962.6</v>
      </c>
      <c r="D1" s="212"/>
      <c r="F1" s="124" t="s">
        <v>81</v>
      </c>
      <c r="G1" s="124"/>
      <c r="H1" s="124"/>
      <c r="I1" s="124"/>
      <c r="J1" s="124"/>
      <c r="K1" s="124"/>
    </row>
    <row r="2" customFormat="false" ht="14.25" hidden="false" customHeight="false" outlineLevel="0" collapsed="false">
      <c r="A2" s="211" t="s">
        <v>82</v>
      </c>
      <c r="B2" s="211"/>
      <c r="C2" s="212" t="n">
        <f aca="false">'12'!B2</f>
        <v>0</v>
      </c>
      <c r="D2" s="212"/>
      <c r="F2" s="124"/>
      <c r="G2" s="124"/>
      <c r="H2" s="124"/>
      <c r="I2" s="124"/>
      <c r="J2" s="124"/>
      <c r="K2" s="124"/>
    </row>
    <row r="5" customFormat="false" ht="14.25" hidden="false" customHeight="false" outlineLevel="0" collapsed="false">
      <c r="A5" s="213" t="s">
        <v>83</v>
      </c>
      <c r="B5" s="214" t="n">
        <f aca="false">'01'!E1+'02'!E1+'03'!E1+'04'!E1+'05'!E1+'06'!E1+'07'!E1+'08'!E1+'09'!E1+'10'!E1+'11'!E1+'12'!E1</f>
        <v>-4102.23</v>
      </c>
    </row>
    <row r="6" customFormat="false" ht="14.25" hidden="false" customHeight="false" outlineLevel="0" collapsed="false">
      <c r="A6" s="1"/>
      <c r="B6" s="1"/>
    </row>
    <row r="7" customFormat="false" ht="14.25" hidden="false" customHeight="false" outlineLevel="0" collapsed="false">
      <c r="A7" s="213" t="s">
        <v>84</v>
      </c>
      <c r="B7" s="214" t="n">
        <f aca="false">'01'!E2+'02'!E2+'03'!E2+'04'!E2+'05'!E2+'06'!E2+'07'!E2+'08'!E2+'09'!E2+'10'!E2+'11'!E2+'12'!E2</f>
        <v>16616.02</v>
      </c>
    </row>
    <row r="9" customFormat="false" ht="14.25" hidden="false" customHeight="false" outlineLevel="0" collapsed="false">
      <c r="A9" s="213" t="s">
        <v>85</v>
      </c>
      <c r="B9" s="214" t="n">
        <f aca="false">'01'!I1+'02'!I1+'03'!I1+'04'!I1+'05'!I1+'06'!I1+'07'!I1+'08'!I1+'09'!I1+'10'!I1+'11'!I1+'12'!I1</f>
        <v>20718.25</v>
      </c>
    </row>
    <row r="11" customFormat="false" ht="13.8" hidden="false" customHeight="false" outlineLevel="0" collapsed="false">
      <c r="A11" s="215" t="s">
        <v>68</v>
      </c>
      <c r="B11" s="216" t="n">
        <f aca="false">'01'!E2</f>
        <v>-309.39</v>
      </c>
    </row>
    <row r="12" customFormat="false" ht="13.8" hidden="false" customHeight="false" outlineLevel="0" collapsed="false">
      <c r="A12" s="217" t="s">
        <v>69</v>
      </c>
      <c r="B12" s="218" t="n">
        <f aca="false">'02'!E2</f>
        <v>1525.41</v>
      </c>
    </row>
    <row r="13" customFormat="false" ht="13.8" hidden="false" customHeight="false" outlineLevel="0" collapsed="false">
      <c r="A13" s="217" t="s">
        <v>70</v>
      </c>
      <c r="B13" s="219" t="n">
        <f aca="false">'03'!E2</f>
        <v>0</v>
      </c>
    </row>
    <row r="14" customFormat="false" ht="13.8" hidden="false" customHeight="false" outlineLevel="0" collapsed="false">
      <c r="A14" s="217" t="s">
        <v>71</v>
      </c>
      <c r="B14" s="218" t="n">
        <f aca="false">'04'!E2</f>
        <v>2200</v>
      </c>
    </row>
    <row r="15" customFormat="false" ht="13.8" hidden="false" customHeight="false" outlineLevel="0" collapsed="false">
      <c r="A15" s="217" t="s">
        <v>72</v>
      </c>
      <c r="B15" s="218" t="n">
        <f aca="false">'05'!E2</f>
        <v>2200</v>
      </c>
    </row>
    <row r="16" customFormat="false" ht="13.8" hidden="false" customHeight="false" outlineLevel="0" collapsed="false">
      <c r="A16" s="217" t="s">
        <v>73</v>
      </c>
      <c r="B16" s="218" t="n">
        <f aca="false">'06'!E2</f>
        <v>2200</v>
      </c>
    </row>
    <row r="17" customFormat="false" ht="13.8" hidden="false" customHeight="false" outlineLevel="0" collapsed="false">
      <c r="A17" s="217" t="s">
        <v>74</v>
      </c>
      <c r="B17" s="218" t="n">
        <f aca="false">'07'!E2</f>
        <v>2200</v>
      </c>
    </row>
    <row r="18" customFormat="false" ht="13.8" hidden="false" customHeight="false" outlineLevel="0" collapsed="false">
      <c r="A18" s="217" t="s">
        <v>75</v>
      </c>
      <c r="B18" s="218" t="n">
        <f aca="false">'08'!E2</f>
        <v>2200</v>
      </c>
    </row>
    <row r="19" customFormat="false" ht="13.8" hidden="false" customHeight="false" outlineLevel="0" collapsed="false">
      <c r="A19" s="217" t="s">
        <v>76</v>
      </c>
      <c r="B19" s="218" t="n">
        <f aca="false">'09'!E2</f>
        <v>2200</v>
      </c>
    </row>
    <row r="20" customFormat="false" ht="13.8" hidden="false" customHeight="false" outlineLevel="0" collapsed="false">
      <c r="A20" s="217" t="s">
        <v>77</v>
      </c>
      <c r="B20" s="218" t="n">
        <f aca="false">'10'!E2</f>
        <v>2200</v>
      </c>
    </row>
    <row r="21" customFormat="false" ht="13.8" hidden="false" customHeight="false" outlineLevel="0" collapsed="false">
      <c r="A21" s="217" t="s">
        <v>78</v>
      </c>
      <c r="B21" s="218" t="n">
        <f aca="false">'11'!E2</f>
        <v>0</v>
      </c>
    </row>
    <row r="22" customFormat="false" ht="13.8" hidden="false" customHeight="false" outlineLevel="0" collapsed="false">
      <c r="A22" s="220" t="s">
        <v>79</v>
      </c>
      <c r="B22" s="221" t="n">
        <f aca="false">'12'!E2</f>
        <v>0</v>
      </c>
    </row>
    <row r="24" customFormat="false" ht="14.25" hidden="false" customHeight="false" outlineLevel="0" collapsed="false">
      <c r="A24" s="222" t="s">
        <v>86</v>
      </c>
      <c r="B24" s="223" t="n">
        <f aca="false">AVERAGE(B11:B22)</f>
        <v>1384.66833333333</v>
      </c>
    </row>
  </sheetData>
  <mergeCells count="5">
    <mergeCell ref="A1:B1"/>
    <mergeCell ref="C1:D1"/>
    <mergeCell ref="F1:K2"/>
    <mergeCell ref="A2:B2"/>
    <mergeCell ref="C2:D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1972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2012-01-04T17:29:32Z</dcterms:created>
  <dc:creator>Satoshi</dc:creator>
  <dc:description/>
  <dc:language>fr-FR</dc:language>
  <cp:lastModifiedBy/>
  <dcterms:modified xsi:type="dcterms:W3CDTF">2024-02-02T21:18:32Z</dcterms:modified>
  <cp:revision>29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